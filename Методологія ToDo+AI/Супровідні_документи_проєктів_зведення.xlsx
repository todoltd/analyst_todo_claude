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ведення" sheetId="1" state="visible" r:id="rId3"/>
    <sheet name="Матриця проєкт×тип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<sst xmlns="http://schemas.openxmlformats.org/spreadsheetml/2006/main" count="746" uniqueCount="99">
  <si>
    <t xml:space="preserve">Стандартні супровідні документи проєкту — зведення по базі знань ToDo</t>
  </si>
  <si>
    <t xml:space="preserve">Знам. (всі)</t>
  </si>
  <si>
    <t xml:space="preserve">Проєктів (тек) усього: 69  •  з документами: 67  •  клієнтських (без службових тек): 63  •  порожні скоупи: здорово, тцпу  •  усього файлів проаналізовано: 3 638</t>
  </si>
  <si>
    <t xml:space="preserve">Знам. (клієнт.)</t>
  </si>
  <si>
    <t xml:space="preserve">Знаменник для «% проєктів» = 67 (теки з документами). Колонка «% клієнтських» = 63 (без службових тек).</t>
  </si>
  <si>
    <t xml:space="preserve">Тип супровідного документа</t>
  </si>
  <si>
    <t xml:space="preserve">К-сть файлів</t>
  </si>
  <si>
    <t xml:space="preserve">У скількох проєктах</t>
  </si>
  <si>
    <t xml:space="preserve">% проєктів (з 67)</t>
  </si>
  <si>
    <t xml:space="preserve">% клієнт. проєктів (з 63)</t>
  </si>
  <si>
    <t xml:space="preserve">у т.ч. не-шаблон (проєктів)</t>
  </si>
  <si>
    <t xml:space="preserve">Протокол обстеження / інтерв'ю</t>
  </si>
  <si>
    <t xml:space="preserve">Команда проекту</t>
  </si>
  <si>
    <t xml:space="preserve">Запит на надання інформації</t>
  </si>
  <si>
    <t xml:space="preserve">План інтерв'ю</t>
  </si>
  <si>
    <t xml:space="preserve">Технічне рішення (ТР)</t>
  </si>
  <si>
    <t xml:space="preserve">План проекту</t>
  </si>
  <si>
    <t xml:space="preserve">Розриви функціоналу (fit-gap)</t>
  </si>
  <si>
    <t xml:space="preserve">Табель / облік робочого часу</t>
  </si>
  <si>
    <t xml:space="preserve">Звіт про обстеження</t>
  </si>
  <si>
    <t xml:space="preserve">Інші протоколи зустрічей / збір вимог</t>
  </si>
  <si>
    <t xml:space="preserve">Протокол статусної зустрічі</t>
  </si>
  <si>
    <t xml:space="preserve">Навчальні матеріали / інструкції</t>
  </si>
  <si>
    <t xml:space="preserve">Протокол установчої зустрічі</t>
  </si>
  <si>
    <t xml:space="preserve">Демонстрація робіт</t>
  </si>
  <si>
    <t xml:space="preserve">Roadmap / дорожня карта</t>
  </si>
  <si>
    <t xml:space="preserve">Каталог інтеграцій</t>
  </si>
  <si>
    <t xml:space="preserve">Інше (клієнтські / робочі файли)</t>
  </si>
  <si>
    <t xml:space="preserve">Проєкт</t>
  </si>
  <si>
    <t xml:space="preserve">Разом типів</t>
  </si>
  <si>
    <t xml:space="preserve">1-проекти-на-передпродажу  (службова)</t>
  </si>
  <si>
    <t xml:space="preserve">✓</t>
  </si>
  <si>
    <t xml:space="preserve">2-архів  (службова)</t>
  </si>
  <si>
    <t xml:space="preserve">2hot2cold-todo-odoo</t>
  </si>
  <si>
    <t xml:space="preserve">4-табелі  (службова)</t>
  </si>
  <si>
    <t xml:space="preserve">alex-villas</t>
  </si>
  <si>
    <t xml:space="preserve">apps-for-store-project</t>
  </si>
  <si>
    <t xml:space="preserve">atmosfera</t>
  </si>
  <si>
    <t xml:space="preserve">bixter-work</t>
  </si>
  <si>
    <t xml:space="preserve">box-сatering</t>
  </si>
  <si>
    <t xml:space="preserve">consolidator-llc</t>
  </si>
  <si>
    <t xml:space="preserve">diason</t>
  </si>
  <si>
    <t xml:space="preserve">edelweis-sservice</t>
  </si>
  <si>
    <t xml:space="preserve">elfa-group</t>
  </si>
  <si>
    <t xml:space="preserve">elko-group</t>
  </si>
  <si>
    <t xml:space="preserve">esper-bionics</t>
  </si>
  <si>
    <t xml:space="preserve">ets-group</t>
  </si>
  <si>
    <t xml:space="preserve">eurozamok</t>
  </si>
  <si>
    <t xml:space="preserve">fabiosa-media</t>
  </si>
  <si>
    <t xml:space="preserve">iconic</t>
  </si>
  <si>
    <t xml:space="preserve">iqosa</t>
  </si>
  <si>
    <t xml:space="preserve">k-export</t>
  </si>
  <si>
    <t xml:space="preserve">kompas-touroperator</t>
  </si>
  <si>
    <t xml:space="preserve">lftx</t>
  </si>
  <si>
    <t xml:space="preserve">lux-site</t>
  </si>
  <si>
    <t xml:space="preserve">m-e-dok-модуль-інтеграції</t>
  </si>
  <si>
    <t xml:space="preserve">mai-travel</t>
  </si>
  <si>
    <t xml:space="preserve">metal-shop</t>
  </si>
  <si>
    <t xml:space="preserve">peran-food</t>
  </si>
  <si>
    <t xml:space="preserve">pilab</t>
  </si>
  <si>
    <t xml:space="preserve">revolution</t>
  </si>
  <si>
    <t xml:space="preserve">road-style</t>
  </si>
  <si>
    <t xml:space="preserve">rse-s-r-o-чехія</t>
  </si>
  <si>
    <t xml:space="preserve">solarsk</t>
  </si>
  <si>
    <t xml:space="preserve">spacefood-ua</t>
  </si>
  <si>
    <t xml:space="preserve">supplychains-limited</t>
  </si>
  <si>
    <t xml:space="preserve">trendformer</t>
  </si>
  <si>
    <t xml:space="preserve">ultrahorizont</t>
  </si>
  <si>
    <t xml:space="preserve">universalna</t>
  </si>
  <si>
    <t xml:space="preserve">vav-synergy</t>
  </si>
  <si>
    <t xml:space="preserve">wiy-drones</t>
  </si>
  <si>
    <t xml:space="preserve">yodezeen</t>
  </si>
  <si>
    <t xml:space="preserve">youcontrol</t>
  </si>
  <si>
    <t xml:space="preserve">авг-білдінг</t>
  </si>
  <si>
    <t xml:space="preserve">агро-технік</t>
  </si>
  <si>
    <t xml:space="preserve">албіхіна-особисті-документи  (службова)</t>
  </si>
  <si>
    <t xml:space="preserve">атк</t>
  </si>
  <si>
    <t xml:space="preserve">бойові-птахи-україни-тов-warbirds</t>
  </si>
  <si>
    <t xml:space="preserve">бріолекс</t>
  </si>
  <si>
    <t xml:space="preserve">ветеранський-корпус</t>
  </si>
  <si>
    <t xml:space="preserve">він-він-трейд</t>
  </si>
  <si>
    <t xml:space="preserve">демз</t>
  </si>
  <si>
    <t xml:space="preserve">ельфа-лабораторія</t>
  </si>
  <si>
    <t xml:space="preserve">енергобезпека-груп</t>
  </si>
  <si>
    <t xml:space="preserve">львівські-круасани</t>
  </si>
  <si>
    <t xml:space="preserve">медікус</t>
  </si>
  <si>
    <t xml:space="preserve">олімпіус-консалт</t>
  </si>
  <si>
    <t xml:space="preserve">пп-геральдика</t>
  </si>
  <si>
    <t xml:space="preserve">смарт-блок</t>
  </si>
  <si>
    <t xml:space="preserve">строй-тек-фасад-майстер</t>
  </si>
  <si>
    <t xml:space="preserve">тов-2021-солюшинс</t>
  </si>
  <si>
    <t xml:space="preserve">тов-віп-принт</t>
  </si>
  <si>
    <t xml:space="preserve">тов-стар-світ-юа-логістика</t>
  </si>
  <si>
    <t xml:space="preserve">трител</t>
  </si>
  <si>
    <t xml:space="preserve">українські-інтелектуальні-системи-uis-_впровадження-odoo</t>
  </si>
  <si>
    <t xml:space="preserve">флексімп</t>
  </si>
  <si>
    <t xml:space="preserve">хайтек-енергія</t>
  </si>
  <si>
    <t xml:space="preserve">ярослав</t>
  </si>
  <si>
    <t xml:space="preserve">РАЗОМ проєктів із типом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</si>
</sst>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0"/>
      <color rgb="FF1F7A1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24"/>
  </cols>
  <sheetData>
    <row r="1" customFormat="false" ht="16.15" hidden="false" customHeight="false" outlineLevel="0" collapsed="false">
      <c r="A1" s="1" t="s">
        <v>0</v>
      </c>
      <c r="G1" s="2" t="s">
        <v>1</v>
      </c>
      <c r="H1" s="2" t="n">
        <v>67</v>
      </c>
    </row>
    <row r="2" customFormat="false" ht="15" hidden="false" customHeight="false" outlineLevel="0" collapsed="false">
      <c r="A2" s="3" t="s">
        <v>2</v>
      </c>
      <c r="G2" s="2" t="s">
        <v>3</v>
      </c>
      <c r="H2" s="2" t="n">
        <v>63</v>
      </c>
    </row>
    <row r="3" customFormat="false" ht="15" hidden="false" customHeight="false" outlineLevel="0" collapsed="false">
      <c r="A3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</row>
    <row r="6" customFormat="false" ht="15" hidden="false" customHeight="false" outlineLevel="0" collapsed="false">
      <c r="A6" s="5" t="s">
        <v>11</v>
      </c>
      <c r="B6" s="6" t="n">
        <v>280</v>
      </c>
      <c r="C6" s="6" t="n">
        <v>58</v>
      </c>
      <c r="D6" s="7" t="n">
        <f aca="false">C6/$H$1</f>
        <v>0.865671641791045</v>
      </c>
      <c r="E6" s="7" t="n">
        <f aca="false">55/$H$2</f>
        <v>0.873015873015873</v>
      </c>
      <c r="F6" s="6" t="n">
        <v>40</v>
      </c>
    </row>
    <row r="7" customFormat="false" ht="15" hidden="false" customHeight="false" outlineLevel="0" collapsed="false">
      <c r="A7" s="5" t="s">
        <v>12</v>
      </c>
      <c r="B7" s="6" t="n">
        <v>64</v>
      </c>
      <c r="C7" s="6" t="n">
        <v>58</v>
      </c>
      <c r="D7" s="7" t="n">
        <f aca="false">C7/$H$1</f>
        <v>0.865671641791045</v>
      </c>
      <c r="E7" s="7" t="n">
        <f aca="false">56/$H$2</f>
        <v>0.888888888888889</v>
      </c>
      <c r="F7" s="6" t="n">
        <v>57</v>
      </c>
    </row>
    <row r="8" customFormat="false" ht="15" hidden="false" customHeight="false" outlineLevel="0" collapsed="false">
      <c r="A8" s="5" t="s">
        <v>13</v>
      </c>
      <c r="B8" s="6" t="n">
        <v>64</v>
      </c>
      <c r="C8" s="6" t="n">
        <v>58</v>
      </c>
      <c r="D8" s="7" t="n">
        <f aca="false">C8/$H$1</f>
        <v>0.865671641791045</v>
      </c>
      <c r="E8" s="7" t="n">
        <f aca="false">56/$H$2</f>
        <v>0.888888888888889</v>
      </c>
      <c r="F8" s="6" t="n">
        <v>54</v>
      </c>
    </row>
    <row r="9" customFormat="false" ht="15" hidden="false" customHeight="false" outlineLevel="0" collapsed="false">
      <c r="A9" s="5" t="s">
        <v>14</v>
      </c>
      <c r="B9" s="6" t="n">
        <v>62</v>
      </c>
      <c r="C9" s="6" t="n">
        <v>58</v>
      </c>
      <c r="D9" s="7" t="n">
        <f aca="false">C9/$H$1</f>
        <v>0.865671641791045</v>
      </c>
      <c r="E9" s="7" t="n">
        <f aca="false">56/$H$2</f>
        <v>0.888888888888889</v>
      </c>
      <c r="F9" s="6" t="n">
        <v>56</v>
      </c>
    </row>
    <row r="10" customFormat="false" ht="15" hidden="false" customHeight="false" outlineLevel="0" collapsed="false">
      <c r="A10" s="5" t="s">
        <v>15</v>
      </c>
      <c r="B10" s="6" t="n">
        <v>210</v>
      </c>
      <c r="C10" s="6" t="n">
        <v>55</v>
      </c>
      <c r="D10" s="7" t="n">
        <f aca="false">C10/$H$1</f>
        <v>0.82089552238806</v>
      </c>
      <c r="E10" s="7" t="n">
        <f aca="false">53/$H$2</f>
        <v>0.841269841269841</v>
      </c>
      <c r="F10" s="6" t="n">
        <v>31</v>
      </c>
    </row>
    <row r="11" customFormat="false" ht="15" hidden="false" customHeight="false" outlineLevel="0" collapsed="false">
      <c r="A11" s="5" t="s">
        <v>16</v>
      </c>
      <c r="B11" s="6" t="n">
        <v>68</v>
      </c>
      <c r="C11" s="6" t="n">
        <v>55</v>
      </c>
      <c r="D11" s="7" t="n">
        <f aca="false">C11/$H$1</f>
        <v>0.82089552238806</v>
      </c>
      <c r="E11" s="7" t="n">
        <f aca="false">53/$H$2</f>
        <v>0.841269841269841</v>
      </c>
      <c r="F11" s="6" t="n">
        <v>49</v>
      </c>
    </row>
    <row r="12" customFormat="false" ht="15" hidden="false" customHeight="false" outlineLevel="0" collapsed="false">
      <c r="A12" s="5" t="s">
        <v>17</v>
      </c>
      <c r="B12" s="6" t="n">
        <v>64</v>
      </c>
      <c r="C12" s="6" t="n">
        <v>55</v>
      </c>
      <c r="D12" s="7" t="n">
        <f aca="false">C12/$H$1</f>
        <v>0.82089552238806</v>
      </c>
      <c r="E12" s="7" t="n">
        <f aca="false">53/$H$2</f>
        <v>0.841269841269841</v>
      </c>
      <c r="F12" s="6" t="n">
        <v>48</v>
      </c>
    </row>
    <row r="13" customFormat="false" ht="15" hidden="false" customHeight="false" outlineLevel="0" collapsed="false">
      <c r="A13" s="5" t="s">
        <v>18</v>
      </c>
      <c r="B13" s="6" t="n">
        <v>254</v>
      </c>
      <c r="C13" s="6" t="n">
        <v>50</v>
      </c>
      <c r="D13" s="7" t="n">
        <f aca="false">C13/$H$1</f>
        <v>0.746268656716418</v>
      </c>
      <c r="E13" s="7" t="n">
        <f aca="false">48/$H$2</f>
        <v>0.761904761904762</v>
      </c>
      <c r="F13" s="6" t="n">
        <v>50</v>
      </c>
    </row>
    <row r="14" customFormat="false" ht="15" hidden="false" customHeight="false" outlineLevel="0" collapsed="false">
      <c r="A14" s="5" t="s">
        <v>19</v>
      </c>
      <c r="B14" s="6" t="n">
        <v>52</v>
      </c>
      <c r="C14" s="6" t="n">
        <v>49</v>
      </c>
      <c r="D14" s="7" t="n">
        <f aca="false">C14/$H$1</f>
        <v>0.73134328358209</v>
      </c>
      <c r="E14" s="7" t="n">
        <f aca="false">47/$H$2</f>
        <v>0.746031746031746</v>
      </c>
      <c r="F14" s="6" t="n">
        <v>37</v>
      </c>
    </row>
    <row r="15" customFormat="false" ht="15" hidden="false" customHeight="false" outlineLevel="0" collapsed="false">
      <c r="A15" s="5" t="s">
        <v>20</v>
      </c>
      <c r="B15" s="6" t="n">
        <v>366</v>
      </c>
      <c r="C15" s="6" t="n">
        <v>47</v>
      </c>
      <c r="D15" s="7" t="n">
        <f aca="false">C15/$H$1</f>
        <v>0.701492537313433</v>
      </c>
      <c r="E15" s="7" t="n">
        <f aca="false">45/$H$2</f>
        <v>0.714285714285714</v>
      </c>
      <c r="F15" s="6" t="n">
        <v>47</v>
      </c>
    </row>
    <row r="16" customFormat="false" ht="15" hidden="false" customHeight="false" outlineLevel="0" collapsed="false">
      <c r="A16" s="5" t="s">
        <v>21</v>
      </c>
      <c r="B16" s="6" t="n">
        <v>264</v>
      </c>
      <c r="C16" s="6" t="n">
        <v>32</v>
      </c>
      <c r="D16" s="7" t="n">
        <f aca="false">C16/$H$1</f>
        <v>0.477611940298507</v>
      </c>
      <c r="E16" s="7" t="n">
        <f aca="false">31/$H$2</f>
        <v>0.492063492063492</v>
      </c>
      <c r="F16" s="6" t="n">
        <v>32</v>
      </c>
    </row>
    <row r="17" customFormat="false" ht="15" hidden="false" customHeight="false" outlineLevel="0" collapsed="false">
      <c r="A17" s="5" t="s">
        <v>22</v>
      </c>
      <c r="B17" s="6" t="n">
        <v>77</v>
      </c>
      <c r="C17" s="6" t="n">
        <v>21</v>
      </c>
      <c r="D17" s="7" t="n">
        <f aca="false">C17/$H$1</f>
        <v>0.313432835820896</v>
      </c>
      <c r="E17" s="7" t="n">
        <f aca="false">19/$H$2</f>
        <v>0.301587301587302</v>
      </c>
      <c r="F17" s="6" t="n">
        <v>21</v>
      </c>
    </row>
    <row r="18" customFormat="false" ht="15" hidden="false" customHeight="false" outlineLevel="0" collapsed="false">
      <c r="A18" s="5" t="s">
        <v>23</v>
      </c>
      <c r="B18" s="6" t="n">
        <v>19</v>
      </c>
      <c r="C18" s="6" t="n">
        <v>19</v>
      </c>
      <c r="D18" s="7" t="n">
        <f aca="false">C18/$H$1</f>
        <v>0.283582089552239</v>
      </c>
      <c r="E18" s="7" t="n">
        <f aca="false">18/$H$2</f>
        <v>0.285714285714286</v>
      </c>
      <c r="F18" s="6" t="n">
        <v>19</v>
      </c>
    </row>
    <row r="19" customFormat="false" ht="15" hidden="false" customHeight="false" outlineLevel="0" collapsed="false">
      <c r="A19" s="5" t="s">
        <v>24</v>
      </c>
      <c r="B19" s="6" t="n">
        <v>24</v>
      </c>
      <c r="C19" s="6" t="n">
        <v>14</v>
      </c>
      <c r="D19" s="7" t="n">
        <f aca="false">C19/$H$1</f>
        <v>0.208955223880597</v>
      </c>
      <c r="E19" s="7" t="n">
        <f aca="false">13/$H$2</f>
        <v>0.206349206349206</v>
      </c>
      <c r="F19" s="6" t="n">
        <v>14</v>
      </c>
    </row>
    <row r="20" customFormat="false" ht="15" hidden="false" customHeight="false" outlineLevel="0" collapsed="false">
      <c r="A20" s="5" t="s">
        <v>25</v>
      </c>
      <c r="B20" s="6" t="n">
        <v>3</v>
      </c>
      <c r="C20" s="6" t="n">
        <v>2</v>
      </c>
      <c r="D20" s="7" t="n">
        <f aca="false">C20/$H$1</f>
        <v>0.0298507462686567</v>
      </c>
      <c r="E20" s="7" t="n">
        <f aca="false">2/$H$2</f>
        <v>0.0317460317460317</v>
      </c>
      <c r="F20" s="6" t="n">
        <v>2</v>
      </c>
    </row>
    <row r="21" customFormat="false" ht="15" hidden="false" customHeight="false" outlineLevel="0" collapsed="false">
      <c r="A21" s="5" t="s">
        <v>26</v>
      </c>
      <c r="B21" s="6" t="n">
        <v>1</v>
      </c>
      <c r="C21" s="6" t="n">
        <v>1</v>
      </c>
      <c r="D21" s="7" t="n">
        <f aca="false">C21/$H$1</f>
        <v>0.0149253731343284</v>
      </c>
      <c r="E21" s="7" t="n">
        <f aca="false">1/$H$2</f>
        <v>0.0158730158730159</v>
      </c>
      <c r="F21" s="6" t="n">
        <v>1</v>
      </c>
    </row>
    <row r="22" customFormat="false" ht="15" hidden="false" customHeight="false" outlineLevel="0" collapsed="false">
      <c r="A22" s="8" t="s">
        <v>27</v>
      </c>
      <c r="B22" s="6" t="n">
        <v>1766</v>
      </c>
      <c r="C22" s="6" t="n">
        <v>65</v>
      </c>
      <c r="D22" s="7" t="n">
        <f aca="false">C22/$H$1</f>
        <v>0.970149253731343</v>
      </c>
      <c r="E22" s="7" t="n">
        <f aca="false">62/$H$2</f>
        <v>0.984126984126984</v>
      </c>
      <c r="F22" s="6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17" min="2" style="0" width="5.51"/>
    <col collapsed="false" customWidth="true" hidden="false" outlineLevel="0" max="18" min="18" style="0" width="7"/>
  </cols>
  <sheetData>
    <row r="1" customFormat="false" ht="150" hidden="false" customHeight="true" outlineLevel="0" collapsed="false">
      <c r="A1" s="9" t="s">
        <v>28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0" t="s">
        <v>19</v>
      </c>
      <c r="K1" s="10" t="s">
        <v>20</v>
      </c>
      <c r="L1" s="10" t="s">
        <v>21</v>
      </c>
      <c r="M1" s="10" t="s">
        <v>22</v>
      </c>
      <c r="N1" s="10" t="s">
        <v>23</v>
      </c>
      <c r="O1" s="10" t="s">
        <v>24</v>
      </c>
      <c r="P1" s="10" t="s">
        <v>25</v>
      </c>
      <c r="Q1" s="10" t="s">
        <v>26</v>
      </c>
      <c r="R1" s="11" t="s">
        <v>29</v>
      </c>
    </row>
    <row r="2" customFormat="false" ht="15" hidden="false" customHeight="false" outlineLevel="0" collapsed="false">
      <c r="A2" s="12" t="s">
        <v>30</v>
      </c>
      <c r="B2" s="13" t="s">
        <v>31</v>
      </c>
      <c r="C2" s="13" t="s">
        <v>31</v>
      </c>
      <c r="D2" s="13" t="s">
        <v>31</v>
      </c>
      <c r="E2" s="13" t="s">
        <v>31</v>
      </c>
      <c r="F2" s="13" t="s">
        <v>31</v>
      </c>
      <c r="G2" s="13" t="s">
        <v>31</v>
      </c>
      <c r="H2" s="13" t="s">
        <v>31</v>
      </c>
      <c r="I2" s="13" t="s">
        <v>31</v>
      </c>
      <c r="J2" s="13" t="s">
        <v>31</v>
      </c>
      <c r="K2" s="13"/>
      <c r="L2" s="13"/>
      <c r="M2" s="13" t="s">
        <v>31</v>
      </c>
      <c r="N2" s="13"/>
      <c r="O2" s="13"/>
      <c r="P2" s="13"/>
      <c r="Q2" s="13"/>
      <c r="R2" s="6" t="n">
        <f aca="false">COUNTA(B2:Q2)</f>
        <v>10</v>
      </c>
    </row>
    <row r="3" customFormat="false" ht="15" hidden="false" customHeight="false" outlineLevel="0" collapsed="false">
      <c r="A3" s="12" t="s">
        <v>32</v>
      </c>
      <c r="B3" s="13" t="s">
        <v>31</v>
      </c>
      <c r="C3" s="13" t="s">
        <v>31</v>
      </c>
      <c r="D3" s="13" t="s">
        <v>31</v>
      </c>
      <c r="E3" s="13" t="s">
        <v>31</v>
      </c>
      <c r="F3" s="13" t="s">
        <v>31</v>
      </c>
      <c r="G3" s="13" t="s">
        <v>31</v>
      </c>
      <c r="H3" s="13" t="s">
        <v>31</v>
      </c>
      <c r="I3" s="13" t="s">
        <v>31</v>
      </c>
      <c r="J3" s="13" t="s">
        <v>31</v>
      </c>
      <c r="K3" s="13" t="s">
        <v>31</v>
      </c>
      <c r="L3" s="13" t="s">
        <v>31</v>
      </c>
      <c r="M3" s="13" t="s">
        <v>31</v>
      </c>
      <c r="N3" s="13" t="s">
        <v>31</v>
      </c>
      <c r="O3" s="13" t="s">
        <v>31</v>
      </c>
      <c r="P3" s="13"/>
      <c r="Q3" s="13"/>
      <c r="R3" s="6" t="n">
        <f aca="false">COUNTA(B3:Q3)</f>
        <v>14</v>
      </c>
    </row>
    <row r="4" customFormat="false" ht="15" hidden="false" customHeight="false" outlineLevel="0" collapsed="false">
      <c r="A4" s="12" t="s">
        <v>33</v>
      </c>
      <c r="B4" s="13" t="s">
        <v>31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6" t="n">
        <f aca="false">COUNTA(B4:Q4)</f>
        <v>1</v>
      </c>
    </row>
    <row r="5" customFormat="false" ht="15" hidden="false" customHeight="false" outlineLevel="0" collapsed="false">
      <c r="A5" s="12" t="s">
        <v>34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6" t="n">
        <f aca="false">COUNTA(B5:Q5)</f>
        <v>0</v>
      </c>
    </row>
    <row r="6" customFormat="false" ht="15" hidden="false" customHeight="false" outlineLevel="0" collapsed="false">
      <c r="A6" s="12" t="s">
        <v>35</v>
      </c>
      <c r="B6" s="13" t="s">
        <v>31</v>
      </c>
      <c r="C6" s="13" t="s">
        <v>31</v>
      </c>
      <c r="D6" s="13" t="s">
        <v>31</v>
      </c>
      <c r="E6" s="13" t="s">
        <v>31</v>
      </c>
      <c r="F6" s="13" t="s">
        <v>31</v>
      </c>
      <c r="G6" s="13" t="s">
        <v>31</v>
      </c>
      <c r="H6" s="13" t="s">
        <v>31</v>
      </c>
      <c r="I6" s="13"/>
      <c r="J6" s="13" t="s">
        <v>31</v>
      </c>
      <c r="K6" s="13"/>
      <c r="L6" s="13" t="s">
        <v>31</v>
      </c>
      <c r="M6" s="13"/>
      <c r="N6" s="13"/>
      <c r="O6" s="13"/>
      <c r="P6" s="13"/>
      <c r="Q6" s="13"/>
      <c r="R6" s="6" t="n">
        <f aca="false">COUNTA(B6:Q6)</f>
        <v>9</v>
      </c>
    </row>
    <row r="7" customFormat="false" ht="15" hidden="false" customHeight="false" outlineLevel="0" collapsed="false">
      <c r="A7" s="12" t="s">
        <v>36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6" t="n">
        <f aca="false">COUNTA(B7:Q7)</f>
        <v>0</v>
      </c>
    </row>
    <row r="8" customFormat="false" ht="15" hidden="false" customHeight="false" outlineLevel="0" collapsed="false">
      <c r="A8" s="12" t="s">
        <v>37</v>
      </c>
      <c r="B8" s="13" t="s">
        <v>31</v>
      </c>
      <c r="C8" s="13" t="s">
        <v>31</v>
      </c>
      <c r="D8" s="13" t="s">
        <v>31</v>
      </c>
      <c r="E8" s="13" t="s">
        <v>31</v>
      </c>
      <c r="F8" s="13" t="s">
        <v>31</v>
      </c>
      <c r="G8" s="13" t="s">
        <v>31</v>
      </c>
      <c r="H8" s="13" t="s">
        <v>31</v>
      </c>
      <c r="I8" s="13"/>
      <c r="J8" s="13" t="s">
        <v>31</v>
      </c>
      <c r="K8" s="13" t="s">
        <v>31</v>
      </c>
      <c r="L8" s="13" t="s">
        <v>31</v>
      </c>
      <c r="M8" s="13" t="s">
        <v>31</v>
      </c>
      <c r="N8" s="13" t="s">
        <v>31</v>
      </c>
      <c r="O8" s="13"/>
      <c r="P8" s="13" t="s">
        <v>31</v>
      </c>
      <c r="Q8" s="13" t="s">
        <v>31</v>
      </c>
      <c r="R8" s="6" t="n">
        <f aca="false">COUNTA(B8:Q8)</f>
        <v>14</v>
      </c>
    </row>
    <row r="9" customFormat="false" ht="15" hidden="false" customHeight="false" outlineLevel="0" collapsed="false">
      <c r="A9" s="12" t="s">
        <v>38</v>
      </c>
      <c r="B9" s="13" t="s">
        <v>31</v>
      </c>
      <c r="C9" s="13" t="s">
        <v>31</v>
      </c>
      <c r="D9" s="13" t="s">
        <v>31</v>
      </c>
      <c r="E9" s="13" t="s">
        <v>31</v>
      </c>
      <c r="F9" s="13" t="s">
        <v>31</v>
      </c>
      <c r="G9" s="13" t="s">
        <v>31</v>
      </c>
      <c r="H9" s="13" t="s">
        <v>31</v>
      </c>
      <c r="I9" s="13" t="s">
        <v>31</v>
      </c>
      <c r="J9" s="13" t="s">
        <v>31</v>
      </c>
      <c r="K9" s="13" t="s">
        <v>31</v>
      </c>
      <c r="L9" s="13" t="s">
        <v>31</v>
      </c>
      <c r="M9" s="13"/>
      <c r="N9" s="13"/>
      <c r="O9" s="13"/>
      <c r="P9" s="13"/>
      <c r="Q9" s="13"/>
      <c r="R9" s="6" t="n">
        <f aca="false">COUNTA(B9:Q9)</f>
        <v>11</v>
      </c>
    </row>
    <row r="10" customFormat="false" ht="15" hidden="false" customHeight="false" outlineLevel="0" collapsed="false">
      <c r="A10" s="12" t="s">
        <v>39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6" t="n">
        <f aca="false">COUNTA(B10:Q10)</f>
        <v>0</v>
      </c>
    </row>
    <row r="11" customFormat="false" ht="15" hidden="false" customHeight="false" outlineLevel="0" collapsed="false">
      <c r="A11" s="12" t="s">
        <v>40</v>
      </c>
      <c r="B11" s="13" t="s">
        <v>31</v>
      </c>
      <c r="C11" s="13" t="s">
        <v>31</v>
      </c>
      <c r="D11" s="13" t="s">
        <v>31</v>
      </c>
      <c r="E11" s="13" t="s">
        <v>31</v>
      </c>
      <c r="F11" s="13" t="s">
        <v>31</v>
      </c>
      <c r="G11" s="13" t="s">
        <v>31</v>
      </c>
      <c r="H11" s="13" t="s">
        <v>31</v>
      </c>
      <c r="I11" s="13" t="s">
        <v>31</v>
      </c>
      <c r="J11" s="13" t="s">
        <v>31</v>
      </c>
      <c r="K11" s="13" t="s">
        <v>31</v>
      </c>
      <c r="L11" s="13"/>
      <c r="M11" s="13"/>
      <c r="N11" s="13" t="s">
        <v>31</v>
      </c>
      <c r="O11" s="13"/>
      <c r="P11" s="13"/>
      <c r="Q11" s="13"/>
      <c r="R11" s="6" t="n">
        <f aca="false">COUNTA(B11:Q11)</f>
        <v>11</v>
      </c>
    </row>
    <row r="12" customFormat="false" ht="15" hidden="false" customHeight="false" outlineLevel="0" collapsed="false">
      <c r="A12" s="12" t="s">
        <v>41</v>
      </c>
      <c r="B12" s="13" t="s">
        <v>31</v>
      </c>
      <c r="C12" s="13" t="s">
        <v>31</v>
      </c>
      <c r="D12" s="13" t="s">
        <v>31</v>
      </c>
      <c r="E12" s="13" t="s">
        <v>31</v>
      </c>
      <c r="F12" s="13" t="s">
        <v>31</v>
      </c>
      <c r="G12" s="13" t="s">
        <v>31</v>
      </c>
      <c r="H12" s="13" t="s">
        <v>31</v>
      </c>
      <c r="I12" s="13" t="s">
        <v>31</v>
      </c>
      <c r="J12" s="13" t="s">
        <v>31</v>
      </c>
      <c r="K12" s="13" t="s">
        <v>31</v>
      </c>
      <c r="L12" s="13" t="s">
        <v>31</v>
      </c>
      <c r="M12" s="13"/>
      <c r="N12" s="13" t="s">
        <v>31</v>
      </c>
      <c r="O12" s="13"/>
      <c r="P12" s="13"/>
      <c r="Q12" s="13"/>
      <c r="R12" s="6" t="n">
        <f aca="false">COUNTA(B12:Q12)</f>
        <v>12</v>
      </c>
    </row>
    <row r="13" customFormat="false" ht="15" hidden="false" customHeight="false" outlineLevel="0" collapsed="false">
      <c r="A13" s="12" t="s">
        <v>42</v>
      </c>
      <c r="B13" s="13" t="s">
        <v>31</v>
      </c>
      <c r="C13" s="13" t="s">
        <v>31</v>
      </c>
      <c r="D13" s="13" t="s">
        <v>31</v>
      </c>
      <c r="E13" s="13" t="s">
        <v>31</v>
      </c>
      <c r="F13" s="13" t="s">
        <v>31</v>
      </c>
      <c r="G13" s="13" t="s">
        <v>31</v>
      </c>
      <c r="H13" s="13" t="s">
        <v>31</v>
      </c>
      <c r="I13" s="13" t="s">
        <v>31</v>
      </c>
      <c r="J13" s="13" t="s">
        <v>31</v>
      </c>
      <c r="K13" s="13" t="s">
        <v>31</v>
      </c>
      <c r="L13" s="13" t="s">
        <v>31</v>
      </c>
      <c r="M13" s="13" t="s">
        <v>31</v>
      </c>
      <c r="N13" s="13" t="s">
        <v>31</v>
      </c>
      <c r="O13" s="13" t="s">
        <v>31</v>
      </c>
      <c r="P13" s="13"/>
      <c r="Q13" s="13"/>
      <c r="R13" s="6" t="n">
        <f aca="false">COUNTA(B13:Q13)</f>
        <v>14</v>
      </c>
    </row>
    <row r="14" customFormat="false" ht="15" hidden="false" customHeight="false" outlineLevel="0" collapsed="false">
      <c r="A14" s="12" t="s">
        <v>43</v>
      </c>
      <c r="B14" s="13" t="s">
        <v>31</v>
      </c>
      <c r="C14" s="13" t="s">
        <v>31</v>
      </c>
      <c r="D14" s="13" t="s">
        <v>31</v>
      </c>
      <c r="E14" s="13" t="s">
        <v>31</v>
      </c>
      <c r="F14" s="13" t="s">
        <v>31</v>
      </c>
      <c r="G14" s="13" t="s">
        <v>31</v>
      </c>
      <c r="H14" s="13" t="s">
        <v>31</v>
      </c>
      <c r="I14" s="13" t="s">
        <v>31</v>
      </c>
      <c r="J14" s="13" t="s">
        <v>31</v>
      </c>
      <c r="K14" s="13" t="s">
        <v>31</v>
      </c>
      <c r="L14" s="13"/>
      <c r="M14" s="13" t="s">
        <v>31</v>
      </c>
      <c r="N14" s="13"/>
      <c r="O14" s="13"/>
      <c r="P14" s="13"/>
      <c r="Q14" s="13"/>
      <c r="R14" s="6" t="n">
        <f aca="false">COUNTA(B14:Q14)</f>
        <v>11</v>
      </c>
    </row>
    <row r="15" customFormat="false" ht="15" hidden="false" customHeight="false" outlineLevel="0" collapsed="false">
      <c r="A15" s="12" t="s">
        <v>44</v>
      </c>
      <c r="B15" s="13" t="s">
        <v>31</v>
      </c>
      <c r="C15" s="13"/>
      <c r="D15" s="13" t="s">
        <v>31</v>
      </c>
      <c r="E15" s="13" t="s">
        <v>31</v>
      </c>
      <c r="F15" s="13" t="s">
        <v>31</v>
      </c>
      <c r="G15" s="13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3" t="s">
        <v>31</v>
      </c>
      <c r="M15" s="13"/>
      <c r="N15" s="13" t="s">
        <v>31</v>
      </c>
      <c r="O15" s="13"/>
      <c r="P15" s="13"/>
      <c r="Q15" s="13"/>
      <c r="R15" s="6" t="n">
        <f aca="false">COUNTA(B15:Q15)</f>
        <v>11</v>
      </c>
    </row>
    <row r="16" customFormat="false" ht="15" hidden="false" customHeight="false" outlineLevel="0" collapsed="false">
      <c r="A16" s="12" t="s">
        <v>45</v>
      </c>
      <c r="B16" s="13"/>
      <c r="C16" s="13" t="s">
        <v>31</v>
      </c>
      <c r="D16" s="13" t="s">
        <v>31</v>
      </c>
      <c r="E16" s="13" t="s">
        <v>31</v>
      </c>
      <c r="F16" s="13" t="s">
        <v>31</v>
      </c>
      <c r="G16" s="13" t="s">
        <v>31</v>
      </c>
      <c r="H16" s="13" t="s">
        <v>31</v>
      </c>
      <c r="I16" s="13"/>
      <c r="J16" s="13"/>
      <c r="K16" s="13" t="s">
        <v>31</v>
      </c>
      <c r="L16" s="13" t="s">
        <v>31</v>
      </c>
      <c r="M16" s="13"/>
      <c r="N16" s="13"/>
      <c r="O16" s="13"/>
      <c r="P16" s="13"/>
      <c r="Q16" s="13"/>
      <c r="R16" s="6" t="n">
        <f aca="false">COUNTA(B16:Q16)</f>
        <v>8</v>
      </c>
    </row>
    <row r="17" customFormat="false" ht="15" hidden="false" customHeight="false" outlineLevel="0" collapsed="false">
      <c r="A17" s="12" t="s">
        <v>46</v>
      </c>
      <c r="B17" s="13" t="s">
        <v>31</v>
      </c>
      <c r="C17" s="13" t="s">
        <v>31</v>
      </c>
      <c r="D17" s="13" t="s">
        <v>31</v>
      </c>
      <c r="E17" s="13" t="s">
        <v>31</v>
      </c>
      <c r="F17" s="13" t="s">
        <v>31</v>
      </c>
      <c r="G17" s="13" t="s">
        <v>31</v>
      </c>
      <c r="H17" s="13" t="s">
        <v>31</v>
      </c>
      <c r="I17" s="13" t="s">
        <v>31</v>
      </c>
      <c r="J17" s="13" t="s">
        <v>31</v>
      </c>
      <c r="K17" s="13" t="s">
        <v>31</v>
      </c>
      <c r="L17" s="13"/>
      <c r="M17" s="13"/>
      <c r="N17" s="13"/>
      <c r="O17" s="13" t="s">
        <v>31</v>
      </c>
      <c r="P17" s="13"/>
      <c r="Q17" s="13"/>
      <c r="R17" s="6" t="n">
        <f aca="false">COUNTA(B17:Q17)</f>
        <v>11</v>
      </c>
    </row>
    <row r="18" customFormat="false" ht="15" hidden="false" customHeight="false" outlineLevel="0" collapsed="false">
      <c r="A18" s="12" t="s">
        <v>47</v>
      </c>
      <c r="B18" s="13" t="s">
        <v>31</v>
      </c>
      <c r="C18" s="13" t="s">
        <v>31</v>
      </c>
      <c r="D18" s="13" t="s">
        <v>31</v>
      </c>
      <c r="E18" s="13" t="s">
        <v>31</v>
      </c>
      <c r="F18" s="13" t="s">
        <v>31</v>
      </c>
      <c r="G18" s="13" t="s">
        <v>31</v>
      </c>
      <c r="H18" s="13" t="s">
        <v>31</v>
      </c>
      <c r="I18" s="13" t="s">
        <v>31</v>
      </c>
      <c r="J18" s="13"/>
      <c r="K18" s="13" t="s">
        <v>31</v>
      </c>
      <c r="L18" s="13" t="s">
        <v>31</v>
      </c>
      <c r="M18" s="13" t="s">
        <v>31</v>
      </c>
      <c r="N18" s="13" t="s">
        <v>31</v>
      </c>
      <c r="O18" s="13" t="s">
        <v>31</v>
      </c>
      <c r="P18" s="13"/>
      <c r="Q18" s="13"/>
      <c r="R18" s="6" t="n">
        <f aca="false">COUNTA(B18:Q18)</f>
        <v>13</v>
      </c>
    </row>
    <row r="19" customFormat="false" ht="15" hidden="false" customHeight="false" outlineLevel="0" collapsed="false">
      <c r="A19" s="12" t="s">
        <v>48</v>
      </c>
      <c r="B19" s="13" t="s">
        <v>31</v>
      </c>
      <c r="C19" s="13" t="s">
        <v>31</v>
      </c>
      <c r="D19" s="13" t="s">
        <v>31</v>
      </c>
      <c r="E19" s="13" t="s">
        <v>31</v>
      </c>
      <c r="F19" s="13" t="s">
        <v>31</v>
      </c>
      <c r="G19" s="13" t="s">
        <v>31</v>
      </c>
      <c r="H19" s="13" t="s">
        <v>31</v>
      </c>
      <c r="I19" s="13" t="s">
        <v>31</v>
      </c>
      <c r="J19" s="13"/>
      <c r="K19" s="13"/>
      <c r="L19" s="13"/>
      <c r="M19" s="13"/>
      <c r="N19" s="13"/>
      <c r="O19" s="13"/>
      <c r="P19" s="13"/>
      <c r="Q19" s="13"/>
      <c r="R19" s="6" t="n">
        <f aca="false">COUNTA(B19:Q19)</f>
        <v>8</v>
      </c>
    </row>
    <row r="20" customFormat="false" ht="15" hidden="false" customHeight="false" outlineLevel="0" collapsed="false">
      <c r="A20" s="12" t="s">
        <v>49</v>
      </c>
      <c r="B20" s="13" t="s">
        <v>31</v>
      </c>
      <c r="C20" s="13" t="s">
        <v>31</v>
      </c>
      <c r="D20" s="13" t="s">
        <v>31</v>
      </c>
      <c r="E20" s="13" t="s">
        <v>31</v>
      </c>
      <c r="F20" s="13" t="s">
        <v>31</v>
      </c>
      <c r="G20" s="13" t="s">
        <v>31</v>
      </c>
      <c r="H20" s="13" t="s">
        <v>31</v>
      </c>
      <c r="I20" s="13" t="s">
        <v>31</v>
      </c>
      <c r="J20" s="13" t="s">
        <v>31</v>
      </c>
      <c r="K20" s="13" t="s">
        <v>31</v>
      </c>
      <c r="L20" s="13" t="s">
        <v>31</v>
      </c>
      <c r="M20" s="13"/>
      <c r="N20" s="13"/>
      <c r="O20" s="13" t="s">
        <v>31</v>
      </c>
      <c r="P20" s="13"/>
      <c r="Q20" s="13"/>
      <c r="R20" s="6" t="n">
        <f aca="false">COUNTA(B20:Q20)</f>
        <v>12</v>
      </c>
    </row>
    <row r="21" customFormat="false" ht="15" hidden="false" customHeight="false" outlineLevel="0" collapsed="false">
      <c r="A21" s="12" t="s">
        <v>50</v>
      </c>
      <c r="B21" s="13" t="s">
        <v>31</v>
      </c>
      <c r="C21" s="13" t="s">
        <v>31</v>
      </c>
      <c r="D21" s="13" t="s">
        <v>31</v>
      </c>
      <c r="E21" s="13" t="s">
        <v>31</v>
      </c>
      <c r="F21" s="13"/>
      <c r="G21" s="13" t="s">
        <v>31</v>
      </c>
      <c r="H21" s="13" t="s">
        <v>31</v>
      </c>
      <c r="I21" s="13" t="s">
        <v>31</v>
      </c>
      <c r="J21" s="13" t="s">
        <v>31</v>
      </c>
      <c r="K21" s="13" t="s">
        <v>31</v>
      </c>
      <c r="L21" s="13" t="s">
        <v>31</v>
      </c>
      <c r="M21" s="13" t="s">
        <v>31</v>
      </c>
      <c r="N21" s="13"/>
      <c r="O21" s="13"/>
      <c r="P21" s="13"/>
      <c r="Q21" s="13"/>
      <c r="R21" s="6" t="n">
        <f aca="false">COUNTA(B21:Q21)</f>
        <v>11</v>
      </c>
    </row>
    <row r="22" customFormat="false" ht="15" hidden="false" customHeight="false" outlineLevel="0" collapsed="false">
      <c r="A22" s="12" t="s">
        <v>51</v>
      </c>
      <c r="B22" s="13" t="s">
        <v>31</v>
      </c>
      <c r="C22" s="13" t="s">
        <v>31</v>
      </c>
      <c r="D22" s="13" t="s">
        <v>31</v>
      </c>
      <c r="E22" s="13" t="s">
        <v>31</v>
      </c>
      <c r="F22" s="13" t="s">
        <v>31</v>
      </c>
      <c r="G22" s="13" t="s">
        <v>31</v>
      </c>
      <c r="H22" s="13" t="s">
        <v>31</v>
      </c>
      <c r="I22" s="13" t="s">
        <v>31</v>
      </c>
      <c r="J22" s="13"/>
      <c r="K22" s="13"/>
      <c r="L22" s="13"/>
      <c r="M22" s="13"/>
      <c r="N22" s="13"/>
      <c r="O22" s="13"/>
      <c r="P22" s="13"/>
      <c r="Q22" s="13"/>
      <c r="R22" s="6" t="n">
        <f aca="false">COUNTA(B22:Q22)</f>
        <v>8</v>
      </c>
    </row>
    <row r="23" customFormat="false" ht="15" hidden="false" customHeight="false" outlineLevel="0" collapsed="false">
      <c r="A23" s="12" t="s">
        <v>52</v>
      </c>
      <c r="B23" s="13" t="s">
        <v>31</v>
      </c>
      <c r="C23" s="13" t="s">
        <v>31</v>
      </c>
      <c r="D23" s="13" t="s">
        <v>31</v>
      </c>
      <c r="E23" s="13" t="s">
        <v>31</v>
      </c>
      <c r="F23" s="13" t="s">
        <v>31</v>
      </c>
      <c r="G23" s="13" t="s">
        <v>31</v>
      </c>
      <c r="H23" s="13"/>
      <c r="I23" s="13"/>
      <c r="J23" s="13" t="s">
        <v>31</v>
      </c>
      <c r="K23" s="13"/>
      <c r="L23" s="13" t="s">
        <v>31</v>
      </c>
      <c r="M23" s="13"/>
      <c r="N23" s="13"/>
      <c r="O23" s="13"/>
      <c r="P23" s="13"/>
      <c r="Q23" s="13"/>
      <c r="R23" s="6" t="n">
        <f aca="false">COUNTA(B23:Q23)</f>
        <v>8</v>
      </c>
    </row>
    <row r="24" customFormat="false" ht="15" hidden="false" customHeight="false" outlineLevel="0" collapsed="false">
      <c r="A24" s="12" t="s">
        <v>53</v>
      </c>
      <c r="B24" s="13" t="s">
        <v>31</v>
      </c>
      <c r="C24" s="13" t="s">
        <v>31</v>
      </c>
      <c r="D24" s="13" t="s">
        <v>31</v>
      </c>
      <c r="E24" s="13"/>
      <c r="F24" s="13" t="s">
        <v>31</v>
      </c>
      <c r="G24" s="13"/>
      <c r="H24" s="13" t="s">
        <v>31</v>
      </c>
      <c r="I24" s="13" t="s">
        <v>31</v>
      </c>
      <c r="J24" s="13" t="s">
        <v>31</v>
      </c>
      <c r="K24" s="13" t="s">
        <v>31</v>
      </c>
      <c r="L24" s="13"/>
      <c r="M24" s="13"/>
      <c r="N24" s="13"/>
      <c r="O24" s="13"/>
      <c r="P24" s="13"/>
      <c r="Q24" s="13"/>
      <c r="R24" s="6" t="n">
        <f aca="false">COUNTA(B24:Q24)</f>
        <v>8</v>
      </c>
    </row>
    <row r="25" customFormat="false" ht="15" hidden="false" customHeight="false" outlineLevel="0" collapsed="false">
      <c r="A25" s="12" t="s">
        <v>54</v>
      </c>
      <c r="B25" s="13" t="s">
        <v>31</v>
      </c>
      <c r="C25" s="13" t="s">
        <v>31</v>
      </c>
      <c r="D25" s="13" t="s">
        <v>31</v>
      </c>
      <c r="E25" s="13" t="s">
        <v>31</v>
      </c>
      <c r="F25" s="13" t="s">
        <v>31</v>
      </c>
      <c r="G25" s="13" t="s">
        <v>31</v>
      </c>
      <c r="H25" s="13" t="s">
        <v>31</v>
      </c>
      <c r="I25" s="13" t="s">
        <v>31</v>
      </c>
      <c r="J25" s="13"/>
      <c r="K25" s="13" t="s">
        <v>31</v>
      </c>
      <c r="L25" s="13" t="s">
        <v>31</v>
      </c>
      <c r="M25" s="13" t="s">
        <v>31</v>
      </c>
      <c r="N25" s="13"/>
      <c r="O25" s="13"/>
      <c r="P25" s="13"/>
      <c r="Q25" s="13"/>
      <c r="R25" s="6" t="n">
        <f aca="false">COUNTA(B25:Q25)</f>
        <v>11</v>
      </c>
    </row>
    <row r="26" customFormat="false" ht="15" hidden="false" customHeight="false" outlineLevel="0" collapsed="false">
      <c r="A26" s="12" t="s">
        <v>55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6" t="n">
        <f aca="false">COUNTA(B26:Q26)</f>
        <v>0</v>
      </c>
    </row>
    <row r="27" customFormat="false" ht="15" hidden="false" customHeight="false" outlineLevel="0" collapsed="false">
      <c r="A27" s="12" t="s">
        <v>56</v>
      </c>
      <c r="B27" s="13" t="s">
        <v>31</v>
      </c>
      <c r="C27" s="13" t="s">
        <v>31</v>
      </c>
      <c r="D27" s="13" t="s">
        <v>31</v>
      </c>
      <c r="E27" s="13" t="s">
        <v>31</v>
      </c>
      <c r="F27" s="13" t="s">
        <v>31</v>
      </c>
      <c r="G27" s="13" t="s">
        <v>31</v>
      </c>
      <c r="H27" s="13" t="s">
        <v>31</v>
      </c>
      <c r="I27" s="13" t="s">
        <v>31</v>
      </c>
      <c r="J27" s="13" t="s">
        <v>31</v>
      </c>
      <c r="K27" s="13" t="s">
        <v>31</v>
      </c>
      <c r="L27" s="13" t="s">
        <v>31</v>
      </c>
      <c r="M27" s="13" t="s">
        <v>31</v>
      </c>
      <c r="N27" s="13"/>
      <c r="O27" s="13" t="s">
        <v>31</v>
      </c>
      <c r="P27" s="13"/>
      <c r="Q27" s="13"/>
      <c r="R27" s="6" t="n">
        <f aca="false">COUNTA(B27:Q27)</f>
        <v>13</v>
      </c>
    </row>
    <row r="28" customFormat="false" ht="15" hidden="false" customHeight="false" outlineLevel="0" collapsed="false">
      <c r="A28" s="12" t="s">
        <v>57</v>
      </c>
      <c r="B28" s="13" t="s">
        <v>31</v>
      </c>
      <c r="C28" s="13" t="s">
        <v>31</v>
      </c>
      <c r="D28" s="13" t="s">
        <v>31</v>
      </c>
      <c r="E28" s="13" t="s">
        <v>31</v>
      </c>
      <c r="F28" s="13" t="s">
        <v>31</v>
      </c>
      <c r="G28" s="13" t="s">
        <v>31</v>
      </c>
      <c r="H28" s="13" t="s">
        <v>31</v>
      </c>
      <c r="I28" s="13"/>
      <c r="J28" s="13" t="s">
        <v>31</v>
      </c>
      <c r="K28" s="13"/>
      <c r="L28" s="13" t="s">
        <v>31</v>
      </c>
      <c r="M28" s="13"/>
      <c r="N28" s="13"/>
      <c r="O28" s="13"/>
      <c r="P28" s="13"/>
      <c r="Q28" s="13"/>
      <c r="R28" s="6" t="n">
        <f aca="false">COUNTA(B28:Q28)</f>
        <v>9</v>
      </c>
    </row>
    <row r="29" customFormat="false" ht="15" hidden="false" customHeight="false" outlineLevel="0" collapsed="false">
      <c r="A29" s="12" t="s">
        <v>58</v>
      </c>
      <c r="B29" s="13" t="s">
        <v>31</v>
      </c>
      <c r="C29" s="13"/>
      <c r="D29" s="13" t="s">
        <v>31</v>
      </c>
      <c r="E29" s="13" t="s">
        <v>31</v>
      </c>
      <c r="F29" s="13" t="s">
        <v>31</v>
      </c>
      <c r="G29" s="13" t="s">
        <v>31</v>
      </c>
      <c r="H29" s="13" t="s">
        <v>31</v>
      </c>
      <c r="I29" s="13" t="s">
        <v>31</v>
      </c>
      <c r="J29" s="13"/>
      <c r="K29" s="13" t="s">
        <v>31</v>
      </c>
      <c r="L29" s="13"/>
      <c r="M29" s="13"/>
      <c r="N29" s="13" t="s">
        <v>31</v>
      </c>
      <c r="O29" s="13" t="s">
        <v>31</v>
      </c>
      <c r="P29" s="13"/>
      <c r="Q29" s="13"/>
      <c r="R29" s="6" t="n">
        <f aca="false">COUNTA(B29:Q29)</f>
        <v>10</v>
      </c>
    </row>
    <row r="30" customFormat="false" ht="15" hidden="false" customHeight="false" outlineLevel="0" collapsed="false">
      <c r="A30" s="12" t="s">
        <v>59</v>
      </c>
      <c r="B30" s="13" t="s">
        <v>31</v>
      </c>
      <c r="C30" s="13" t="s">
        <v>31</v>
      </c>
      <c r="D30" s="13" t="s">
        <v>31</v>
      </c>
      <c r="E30" s="13" t="s">
        <v>31</v>
      </c>
      <c r="F30" s="13" t="s">
        <v>31</v>
      </c>
      <c r="G30" s="13" t="s">
        <v>31</v>
      </c>
      <c r="H30" s="13" t="s">
        <v>31</v>
      </c>
      <c r="I30" s="13" t="s">
        <v>31</v>
      </c>
      <c r="J30" s="13" t="s">
        <v>31</v>
      </c>
      <c r="K30" s="13" t="s">
        <v>31</v>
      </c>
      <c r="L30" s="13" t="s">
        <v>31</v>
      </c>
      <c r="M30" s="13"/>
      <c r="N30" s="13" t="s">
        <v>31</v>
      </c>
      <c r="O30" s="13"/>
      <c r="P30" s="13"/>
      <c r="Q30" s="13"/>
      <c r="R30" s="6" t="n">
        <f aca="false">COUNTA(B30:Q30)</f>
        <v>12</v>
      </c>
    </row>
    <row r="31" customFormat="false" ht="15" hidden="false" customHeight="false" outlineLevel="0" collapsed="false">
      <c r="A31" s="12" t="s">
        <v>60</v>
      </c>
      <c r="B31" s="13" t="s">
        <v>31</v>
      </c>
      <c r="C31" s="13" t="s">
        <v>31</v>
      </c>
      <c r="D31" s="13" t="s">
        <v>31</v>
      </c>
      <c r="E31" s="13" t="s">
        <v>31</v>
      </c>
      <c r="F31" s="13" t="s">
        <v>31</v>
      </c>
      <c r="G31" s="13" t="s">
        <v>31</v>
      </c>
      <c r="H31" s="13" t="s">
        <v>31</v>
      </c>
      <c r="I31" s="13" t="s">
        <v>31</v>
      </c>
      <c r="J31" s="13" t="s">
        <v>31</v>
      </c>
      <c r="K31" s="13" t="s">
        <v>31</v>
      </c>
      <c r="L31" s="13"/>
      <c r="M31" s="13" t="s">
        <v>31</v>
      </c>
      <c r="N31" s="13"/>
      <c r="O31" s="13"/>
      <c r="P31" s="13"/>
      <c r="Q31" s="13"/>
      <c r="R31" s="6" t="n">
        <f aca="false">COUNTA(B31:Q31)</f>
        <v>11</v>
      </c>
    </row>
    <row r="32" customFormat="false" ht="15" hidden="false" customHeight="false" outlineLevel="0" collapsed="false">
      <c r="A32" s="12" t="s">
        <v>61</v>
      </c>
      <c r="B32" s="13" t="s">
        <v>31</v>
      </c>
      <c r="C32" s="13" t="s">
        <v>31</v>
      </c>
      <c r="D32" s="13" t="s">
        <v>31</v>
      </c>
      <c r="E32" s="13" t="s">
        <v>31</v>
      </c>
      <c r="F32" s="13" t="s">
        <v>31</v>
      </c>
      <c r="G32" s="13" t="s">
        <v>31</v>
      </c>
      <c r="H32" s="13" t="s">
        <v>31</v>
      </c>
      <c r="I32" s="13" t="s">
        <v>31</v>
      </c>
      <c r="J32" s="13" t="s">
        <v>31</v>
      </c>
      <c r="K32" s="13"/>
      <c r="L32" s="13"/>
      <c r="M32" s="13"/>
      <c r="N32" s="13"/>
      <c r="O32" s="13"/>
      <c r="P32" s="13"/>
      <c r="Q32" s="13"/>
      <c r="R32" s="6" t="n">
        <f aca="false">COUNTA(B32:Q32)</f>
        <v>9</v>
      </c>
    </row>
    <row r="33" customFormat="false" ht="15" hidden="false" customHeight="false" outlineLevel="0" collapsed="false">
      <c r="A33" s="12" t="s">
        <v>62</v>
      </c>
      <c r="B33" s="13"/>
      <c r="C33" s="13" t="s">
        <v>31</v>
      </c>
      <c r="D33" s="13" t="s">
        <v>31</v>
      </c>
      <c r="E33" s="13" t="s">
        <v>31</v>
      </c>
      <c r="F33" s="13" t="s">
        <v>31</v>
      </c>
      <c r="G33" s="13" t="s">
        <v>31</v>
      </c>
      <c r="H33" s="13" t="s">
        <v>31</v>
      </c>
      <c r="I33" s="13" t="s">
        <v>31</v>
      </c>
      <c r="J33" s="13" t="s">
        <v>31</v>
      </c>
      <c r="K33" s="13"/>
      <c r="L33" s="13"/>
      <c r="M33" s="13" t="s">
        <v>31</v>
      </c>
      <c r="N33" s="13"/>
      <c r="O33" s="13"/>
      <c r="P33" s="13"/>
      <c r="Q33" s="13"/>
      <c r="R33" s="6" t="n">
        <f aca="false">COUNTA(B33:Q33)</f>
        <v>9</v>
      </c>
    </row>
    <row r="34" customFormat="false" ht="15" hidden="false" customHeight="false" outlineLevel="0" collapsed="false">
      <c r="A34" s="12" t="s">
        <v>63</v>
      </c>
      <c r="B34" s="13" t="s">
        <v>31</v>
      </c>
      <c r="C34" s="13" t="s">
        <v>31</v>
      </c>
      <c r="D34" s="13" t="s">
        <v>31</v>
      </c>
      <c r="E34" s="13" t="s">
        <v>31</v>
      </c>
      <c r="F34" s="13" t="s">
        <v>31</v>
      </c>
      <c r="G34" s="13" t="s">
        <v>31</v>
      </c>
      <c r="H34" s="13" t="s">
        <v>31</v>
      </c>
      <c r="I34" s="13" t="s">
        <v>31</v>
      </c>
      <c r="J34" s="13" t="s">
        <v>31</v>
      </c>
      <c r="K34" s="13" t="s">
        <v>31</v>
      </c>
      <c r="L34" s="13"/>
      <c r="M34" s="13"/>
      <c r="N34" s="13"/>
      <c r="O34" s="13"/>
      <c r="P34" s="13"/>
      <c r="Q34" s="13"/>
      <c r="R34" s="6" t="n">
        <f aca="false">COUNTA(B34:Q34)</f>
        <v>10</v>
      </c>
    </row>
    <row r="35" customFormat="false" ht="15" hidden="false" customHeight="false" outlineLevel="0" collapsed="false">
      <c r="A35" s="12" t="s">
        <v>64</v>
      </c>
      <c r="B35" s="13" t="s">
        <v>31</v>
      </c>
      <c r="C35" s="13" t="s">
        <v>31</v>
      </c>
      <c r="D35" s="13" t="s">
        <v>31</v>
      </c>
      <c r="E35" s="13" t="s">
        <v>31</v>
      </c>
      <c r="F35" s="13" t="s">
        <v>31</v>
      </c>
      <c r="G35" s="13" t="s">
        <v>31</v>
      </c>
      <c r="H35" s="13" t="s">
        <v>31</v>
      </c>
      <c r="I35" s="13" t="s">
        <v>31</v>
      </c>
      <c r="J35" s="13" t="s">
        <v>31</v>
      </c>
      <c r="K35" s="13" t="s">
        <v>31</v>
      </c>
      <c r="L35" s="13"/>
      <c r="M35" s="13"/>
      <c r="N35" s="13"/>
      <c r="O35" s="13"/>
      <c r="P35" s="13"/>
      <c r="Q35" s="13"/>
      <c r="R35" s="6" t="n">
        <f aca="false">COUNTA(B35:Q35)</f>
        <v>10</v>
      </c>
    </row>
    <row r="36" customFormat="false" ht="15" hidden="false" customHeight="false" outlineLevel="0" collapsed="false">
      <c r="A36" s="12" t="s">
        <v>65</v>
      </c>
      <c r="B36" s="13" t="s">
        <v>31</v>
      </c>
      <c r="C36" s="13" t="s">
        <v>31</v>
      </c>
      <c r="D36" s="13"/>
      <c r="E36" s="13" t="s">
        <v>31</v>
      </c>
      <c r="F36" s="13"/>
      <c r="G36" s="13"/>
      <c r="H36" s="13"/>
      <c r="I36" s="13"/>
      <c r="J36" s="13" t="s">
        <v>31</v>
      </c>
      <c r="K36" s="13" t="s">
        <v>31</v>
      </c>
      <c r="L36" s="13"/>
      <c r="M36" s="13"/>
      <c r="N36" s="13" t="s">
        <v>31</v>
      </c>
      <c r="O36" s="13"/>
      <c r="P36" s="13"/>
      <c r="Q36" s="13"/>
      <c r="R36" s="6" t="n">
        <f aca="false">COUNTA(B36:Q36)</f>
        <v>6</v>
      </c>
    </row>
    <row r="37" customFormat="false" ht="15" hidden="false" customHeight="false" outlineLevel="0" collapsed="false">
      <c r="A37" s="12" t="s">
        <v>66</v>
      </c>
      <c r="B37" s="13" t="s">
        <v>31</v>
      </c>
      <c r="C37" s="13" t="s">
        <v>31</v>
      </c>
      <c r="D37" s="13" t="s">
        <v>31</v>
      </c>
      <c r="E37" s="13" t="s">
        <v>31</v>
      </c>
      <c r="F37" s="13" t="s">
        <v>31</v>
      </c>
      <c r="G37" s="13" t="s">
        <v>31</v>
      </c>
      <c r="H37" s="13" t="s">
        <v>31</v>
      </c>
      <c r="I37" s="13"/>
      <c r="J37" s="13" t="s">
        <v>31</v>
      </c>
      <c r="K37" s="13"/>
      <c r="L37" s="13"/>
      <c r="M37" s="13"/>
      <c r="N37" s="13"/>
      <c r="O37" s="13"/>
      <c r="P37" s="13"/>
      <c r="Q37" s="13"/>
      <c r="R37" s="6" t="n">
        <f aca="false">COUNTA(B37:Q37)</f>
        <v>8</v>
      </c>
    </row>
    <row r="38" customFormat="false" ht="15" hidden="false" customHeight="false" outlineLevel="0" collapsed="false">
      <c r="A38" s="12" t="s">
        <v>67</v>
      </c>
      <c r="B38" s="13" t="s">
        <v>31</v>
      </c>
      <c r="C38" s="13" t="s">
        <v>31</v>
      </c>
      <c r="D38" s="13" t="s">
        <v>31</v>
      </c>
      <c r="E38" s="13" t="s">
        <v>31</v>
      </c>
      <c r="F38" s="13" t="s">
        <v>31</v>
      </c>
      <c r="G38" s="13" t="s">
        <v>31</v>
      </c>
      <c r="H38" s="13"/>
      <c r="I38" s="13" t="s">
        <v>31</v>
      </c>
      <c r="J38" s="13" t="s">
        <v>31</v>
      </c>
      <c r="K38" s="13" t="s">
        <v>31</v>
      </c>
      <c r="L38" s="13"/>
      <c r="M38" s="13" t="s">
        <v>31</v>
      </c>
      <c r="N38" s="13"/>
      <c r="O38" s="13"/>
      <c r="P38" s="13" t="s">
        <v>31</v>
      </c>
      <c r="Q38" s="13"/>
      <c r="R38" s="6" t="n">
        <f aca="false">COUNTA(B38:Q38)</f>
        <v>11</v>
      </c>
    </row>
    <row r="39" customFormat="false" ht="15" hidden="false" customHeight="false" outlineLevel="0" collapsed="false">
      <c r="A39" s="12" t="s">
        <v>68</v>
      </c>
      <c r="B39" s="13" t="s">
        <v>31</v>
      </c>
      <c r="C39" s="13" t="s">
        <v>31</v>
      </c>
      <c r="D39" s="13" t="s">
        <v>31</v>
      </c>
      <c r="E39" s="13" t="s">
        <v>31</v>
      </c>
      <c r="F39" s="13" t="s">
        <v>31</v>
      </c>
      <c r="G39" s="13" t="s">
        <v>31</v>
      </c>
      <c r="H39" s="13" t="s">
        <v>31</v>
      </c>
      <c r="I39" s="13" t="s">
        <v>31</v>
      </c>
      <c r="J39" s="13" t="s">
        <v>31</v>
      </c>
      <c r="K39" s="13" t="s">
        <v>31</v>
      </c>
      <c r="L39" s="13" t="s">
        <v>31</v>
      </c>
      <c r="M39" s="13" t="s">
        <v>31</v>
      </c>
      <c r="N39" s="13" t="s">
        <v>31</v>
      </c>
      <c r="O39" s="13"/>
      <c r="P39" s="13"/>
      <c r="Q39" s="13"/>
      <c r="R39" s="6" t="n">
        <f aca="false">COUNTA(B39:Q39)</f>
        <v>13</v>
      </c>
    </row>
    <row r="40" customFormat="false" ht="15" hidden="false" customHeight="false" outlineLevel="0" collapsed="false">
      <c r="A40" s="12" t="s">
        <v>69</v>
      </c>
      <c r="B40" s="13" t="s">
        <v>31</v>
      </c>
      <c r="C40" s="13" t="s">
        <v>31</v>
      </c>
      <c r="D40" s="13" t="s">
        <v>31</v>
      </c>
      <c r="E40" s="13" t="s">
        <v>31</v>
      </c>
      <c r="F40" s="13" t="s">
        <v>31</v>
      </c>
      <c r="G40" s="13" t="s">
        <v>31</v>
      </c>
      <c r="H40" s="13" t="s">
        <v>31</v>
      </c>
      <c r="I40" s="13"/>
      <c r="J40" s="13" t="s">
        <v>31</v>
      </c>
      <c r="K40" s="13"/>
      <c r="L40" s="13"/>
      <c r="M40" s="13"/>
      <c r="N40" s="13"/>
      <c r="O40" s="13"/>
      <c r="P40" s="13"/>
      <c r="Q40" s="13"/>
      <c r="R40" s="6" t="n">
        <f aca="false">COUNTA(B40:Q40)</f>
        <v>8</v>
      </c>
    </row>
    <row r="41" customFormat="false" ht="15" hidden="false" customHeight="false" outlineLevel="0" collapsed="false">
      <c r="A41" s="12" t="s">
        <v>70</v>
      </c>
      <c r="B41" s="13" t="s">
        <v>31</v>
      </c>
      <c r="C41" s="13" t="s">
        <v>31</v>
      </c>
      <c r="D41" s="13" t="s">
        <v>31</v>
      </c>
      <c r="E41" s="13" t="s">
        <v>31</v>
      </c>
      <c r="F41" s="13"/>
      <c r="G41" s="13" t="s">
        <v>31</v>
      </c>
      <c r="H41" s="13" t="s">
        <v>31</v>
      </c>
      <c r="I41" s="13" t="s">
        <v>31</v>
      </c>
      <c r="J41" s="13" t="s">
        <v>31</v>
      </c>
      <c r="K41" s="13" t="s">
        <v>31</v>
      </c>
      <c r="L41" s="13" t="s">
        <v>31</v>
      </c>
      <c r="M41" s="13"/>
      <c r="N41" s="13"/>
      <c r="O41" s="13" t="s">
        <v>31</v>
      </c>
      <c r="P41" s="13"/>
      <c r="Q41" s="13"/>
      <c r="R41" s="6" t="n">
        <f aca="false">COUNTA(B41:Q41)</f>
        <v>11</v>
      </c>
    </row>
    <row r="42" customFormat="false" ht="15" hidden="false" customHeight="false" outlineLevel="0" collapsed="false">
      <c r="A42" s="12" t="s">
        <v>71</v>
      </c>
      <c r="B42" s="13" t="s">
        <v>31</v>
      </c>
      <c r="C42" s="13" t="s">
        <v>31</v>
      </c>
      <c r="D42" s="13" t="s">
        <v>31</v>
      </c>
      <c r="E42" s="13" t="s">
        <v>31</v>
      </c>
      <c r="F42" s="13" t="s">
        <v>31</v>
      </c>
      <c r="G42" s="13" t="s">
        <v>31</v>
      </c>
      <c r="H42" s="13" t="s">
        <v>31</v>
      </c>
      <c r="I42" s="13" t="s">
        <v>31</v>
      </c>
      <c r="J42" s="13" t="s">
        <v>31</v>
      </c>
      <c r="K42" s="13" t="s">
        <v>31</v>
      </c>
      <c r="L42" s="13" t="s">
        <v>31</v>
      </c>
      <c r="M42" s="13" t="s">
        <v>31</v>
      </c>
      <c r="N42" s="13" t="s">
        <v>31</v>
      </c>
      <c r="O42" s="13"/>
      <c r="P42" s="13"/>
      <c r="Q42" s="13"/>
      <c r="R42" s="6" t="n">
        <f aca="false">COUNTA(B42:Q42)</f>
        <v>13</v>
      </c>
    </row>
    <row r="43" customFormat="false" ht="15" hidden="false" customHeight="false" outlineLevel="0" collapsed="false">
      <c r="A43" s="12" t="s">
        <v>72</v>
      </c>
      <c r="B43" s="13" t="s">
        <v>31</v>
      </c>
      <c r="C43" s="13" t="s">
        <v>31</v>
      </c>
      <c r="D43" s="13" t="s">
        <v>31</v>
      </c>
      <c r="E43" s="13" t="s">
        <v>31</v>
      </c>
      <c r="F43" s="13" t="s">
        <v>31</v>
      </c>
      <c r="G43" s="13" t="s">
        <v>31</v>
      </c>
      <c r="H43" s="13" t="s">
        <v>31</v>
      </c>
      <c r="I43" s="13" t="s">
        <v>31</v>
      </c>
      <c r="J43" s="13" t="s">
        <v>31</v>
      </c>
      <c r="K43" s="13"/>
      <c r="L43" s="13" t="s">
        <v>31</v>
      </c>
      <c r="M43" s="13"/>
      <c r="N43" s="13"/>
      <c r="O43" s="13"/>
      <c r="P43" s="13"/>
      <c r="Q43" s="13"/>
      <c r="R43" s="6" t="n">
        <f aca="false">COUNTA(B43:Q43)</f>
        <v>10</v>
      </c>
    </row>
    <row r="44" customFormat="false" ht="15" hidden="false" customHeight="false" outlineLevel="0" collapsed="false">
      <c r="A44" s="12" t="s">
        <v>73</v>
      </c>
      <c r="B44" s="13" t="s">
        <v>31</v>
      </c>
      <c r="C44" s="13" t="s">
        <v>31</v>
      </c>
      <c r="D44" s="13" t="s">
        <v>31</v>
      </c>
      <c r="E44" s="13" t="s">
        <v>31</v>
      </c>
      <c r="F44" s="13" t="s">
        <v>31</v>
      </c>
      <c r="G44" s="13" t="s">
        <v>31</v>
      </c>
      <c r="H44" s="13" t="s">
        <v>31</v>
      </c>
      <c r="I44" s="13" t="s">
        <v>31</v>
      </c>
      <c r="J44" s="13" t="s">
        <v>31</v>
      </c>
      <c r="K44" s="13"/>
      <c r="L44" s="13"/>
      <c r="M44" s="13"/>
      <c r="N44" s="13"/>
      <c r="O44" s="13"/>
      <c r="P44" s="13"/>
      <c r="Q44" s="13"/>
      <c r="R44" s="6" t="n">
        <f aca="false">COUNTA(B44:Q44)</f>
        <v>9</v>
      </c>
    </row>
    <row r="45" customFormat="false" ht="15" hidden="false" customHeight="false" outlineLevel="0" collapsed="false">
      <c r="A45" s="12" t="s">
        <v>74</v>
      </c>
      <c r="B45" s="13" t="s">
        <v>31</v>
      </c>
      <c r="C45" s="13" t="s">
        <v>31</v>
      </c>
      <c r="D45" s="13" t="s">
        <v>31</v>
      </c>
      <c r="E45" s="13" t="s">
        <v>31</v>
      </c>
      <c r="F45" s="13" t="s">
        <v>31</v>
      </c>
      <c r="G45" s="13" t="s">
        <v>31</v>
      </c>
      <c r="H45" s="13" t="s">
        <v>31</v>
      </c>
      <c r="I45" s="13" t="s">
        <v>31</v>
      </c>
      <c r="J45" s="13" t="s">
        <v>31</v>
      </c>
      <c r="K45" s="13" t="s">
        <v>31</v>
      </c>
      <c r="L45" s="13" t="s">
        <v>31</v>
      </c>
      <c r="M45" s="13"/>
      <c r="N45" s="13"/>
      <c r="O45" s="13"/>
      <c r="P45" s="13"/>
      <c r="Q45" s="13"/>
      <c r="R45" s="6" t="n">
        <f aca="false">COUNTA(B45:Q45)</f>
        <v>11</v>
      </c>
    </row>
    <row r="46" customFormat="false" ht="15" hidden="false" customHeight="false" outlineLevel="0" collapsed="false">
      <c r="A46" s="12" t="s">
        <v>75</v>
      </c>
      <c r="B46" s="13" t="s">
        <v>31</v>
      </c>
      <c r="C46" s="13"/>
      <c r="D46" s="13"/>
      <c r="E46" s="13"/>
      <c r="F46" s="13"/>
      <c r="G46" s="13"/>
      <c r="H46" s="13"/>
      <c r="I46" s="13"/>
      <c r="J46" s="13"/>
      <c r="K46" s="13" t="s">
        <v>31</v>
      </c>
      <c r="L46" s="13"/>
      <c r="M46" s="13"/>
      <c r="N46" s="13"/>
      <c r="O46" s="13"/>
      <c r="P46" s="13"/>
      <c r="Q46" s="13"/>
      <c r="R46" s="6" t="n">
        <f aca="false">COUNTA(B46:Q46)</f>
        <v>2</v>
      </c>
    </row>
    <row r="47" customFormat="false" ht="15" hidden="false" customHeight="false" outlineLevel="0" collapsed="false">
      <c r="A47" s="12" t="s">
        <v>76</v>
      </c>
      <c r="B47" s="13" t="s">
        <v>31</v>
      </c>
      <c r="C47" s="13" t="s">
        <v>31</v>
      </c>
      <c r="D47" s="13" t="s">
        <v>31</v>
      </c>
      <c r="E47" s="13" t="s">
        <v>31</v>
      </c>
      <c r="F47" s="13" t="s">
        <v>31</v>
      </c>
      <c r="G47" s="13" t="s">
        <v>31</v>
      </c>
      <c r="H47" s="13" t="s">
        <v>31</v>
      </c>
      <c r="I47" s="13"/>
      <c r="J47" s="13"/>
      <c r="K47" s="13"/>
      <c r="L47" s="13"/>
      <c r="M47" s="13"/>
      <c r="N47" s="13"/>
      <c r="O47" s="13"/>
      <c r="P47" s="13"/>
      <c r="Q47" s="13"/>
      <c r="R47" s="6" t="n">
        <f aca="false">COUNTA(B47:Q47)</f>
        <v>7</v>
      </c>
    </row>
    <row r="48" customFormat="false" ht="15" hidden="false" customHeight="false" outlineLevel="0" collapsed="false">
      <c r="A48" s="12" t="s">
        <v>77</v>
      </c>
      <c r="B48" s="13" t="s">
        <v>31</v>
      </c>
      <c r="C48" s="13" t="s">
        <v>31</v>
      </c>
      <c r="D48" s="13" t="s">
        <v>31</v>
      </c>
      <c r="E48" s="13" t="s">
        <v>31</v>
      </c>
      <c r="F48" s="13" t="s">
        <v>31</v>
      </c>
      <c r="G48" s="13" t="s">
        <v>31</v>
      </c>
      <c r="H48" s="13" t="s">
        <v>31</v>
      </c>
      <c r="I48" s="13" t="s">
        <v>31</v>
      </c>
      <c r="J48" s="13" t="s">
        <v>31</v>
      </c>
      <c r="K48" s="13" t="s">
        <v>31</v>
      </c>
      <c r="L48" s="13" t="s">
        <v>31</v>
      </c>
      <c r="M48" s="13"/>
      <c r="N48" s="13" t="s">
        <v>31</v>
      </c>
      <c r="O48" s="13"/>
      <c r="P48" s="13"/>
      <c r="Q48" s="13"/>
      <c r="R48" s="6" t="n">
        <f aca="false">COUNTA(B48:Q48)</f>
        <v>12</v>
      </c>
    </row>
    <row r="49" customFormat="false" ht="15" hidden="false" customHeight="false" outlineLevel="0" collapsed="false">
      <c r="A49" s="12" t="s">
        <v>78</v>
      </c>
      <c r="B49" s="13" t="s">
        <v>31</v>
      </c>
      <c r="C49" s="13" t="s">
        <v>31</v>
      </c>
      <c r="D49" s="13" t="s">
        <v>31</v>
      </c>
      <c r="E49" s="13" t="s">
        <v>31</v>
      </c>
      <c r="F49" s="13" t="s">
        <v>31</v>
      </c>
      <c r="G49" s="13" t="s">
        <v>31</v>
      </c>
      <c r="H49" s="13" t="s">
        <v>31</v>
      </c>
      <c r="I49" s="13" t="s">
        <v>31</v>
      </c>
      <c r="J49" s="13" t="s">
        <v>31</v>
      </c>
      <c r="K49" s="13" t="s">
        <v>31</v>
      </c>
      <c r="L49" s="13"/>
      <c r="M49" s="13" t="s">
        <v>31</v>
      </c>
      <c r="N49" s="13"/>
      <c r="O49" s="13" t="s">
        <v>31</v>
      </c>
      <c r="P49" s="13"/>
      <c r="Q49" s="13"/>
      <c r="R49" s="6" t="n">
        <f aca="false">COUNTA(B49:Q49)</f>
        <v>12</v>
      </c>
    </row>
    <row r="50" customFormat="false" ht="15" hidden="false" customHeight="false" outlineLevel="0" collapsed="false">
      <c r="A50" s="12" t="s">
        <v>79</v>
      </c>
      <c r="B50" s="13" t="s">
        <v>31</v>
      </c>
      <c r="C50" s="13" t="s">
        <v>31</v>
      </c>
      <c r="D50" s="13" t="s">
        <v>31</v>
      </c>
      <c r="E50" s="13" t="s">
        <v>31</v>
      </c>
      <c r="F50" s="13" t="s">
        <v>31</v>
      </c>
      <c r="G50" s="13" t="s">
        <v>31</v>
      </c>
      <c r="H50" s="13" t="s">
        <v>31</v>
      </c>
      <c r="I50" s="13" t="s">
        <v>31</v>
      </c>
      <c r="J50" s="13" t="s">
        <v>31</v>
      </c>
      <c r="K50" s="13" t="s">
        <v>31</v>
      </c>
      <c r="L50" s="13"/>
      <c r="M50" s="13"/>
      <c r="N50" s="13"/>
      <c r="O50" s="13"/>
      <c r="P50" s="13"/>
      <c r="Q50" s="13"/>
      <c r="R50" s="6" t="n">
        <f aca="false">COUNTA(B50:Q50)</f>
        <v>10</v>
      </c>
    </row>
    <row r="51" customFormat="false" ht="15" hidden="false" customHeight="false" outlineLevel="0" collapsed="false">
      <c r="A51" s="12" t="s">
        <v>80</v>
      </c>
      <c r="B51" s="13" t="s">
        <v>31</v>
      </c>
      <c r="C51" s="13" t="s">
        <v>31</v>
      </c>
      <c r="D51" s="13" t="s">
        <v>31</v>
      </c>
      <c r="E51" s="13" t="s">
        <v>31</v>
      </c>
      <c r="F51" s="13" t="s">
        <v>31</v>
      </c>
      <c r="G51" s="13"/>
      <c r="H51" s="13" t="s">
        <v>31</v>
      </c>
      <c r="I51" s="13" t="s">
        <v>31</v>
      </c>
      <c r="J51" s="13" t="s">
        <v>31</v>
      </c>
      <c r="K51" s="13" t="s">
        <v>31</v>
      </c>
      <c r="L51" s="13"/>
      <c r="M51" s="13"/>
      <c r="N51" s="13" t="s">
        <v>31</v>
      </c>
      <c r="O51" s="13"/>
      <c r="P51" s="13"/>
      <c r="Q51" s="13"/>
      <c r="R51" s="6" t="n">
        <f aca="false">COUNTA(B51:Q51)</f>
        <v>10</v>
      </c>
    </row>
    <row r="52" customFormat="false" ht="15" hidden="false" customHeight="false" outlineLevel="0" collapsed="false">
      <c r="A52" s="12" t="s">
        <v>81</v>
      </c>
      <c r="B52" s="13" t="s">
        <v>31</v>
      </c>
      <c r="C52" s="13" t="s">
        <v>31</v>
      </c>
      <c r="D52" s="13" t="s">
        <v>31</v>
      </c>
      <c r="E52" s="13" t="s">
        <v>31</v>
      </c>
      <c r="F52" s="13" t="s">
        <v>31</v>
      </c>
      <c r="G52" s="13" t="s">
        <v>31</v>
      </c>
      <c r="H52" s="13" t="s">
        <v>31</v>
      </c>
      <c r="I52" s="13" t="s">
        <v>31</v>
      </c>
      <c r="J52" s="13" t="s">
        <v>31</v>
      </c>
      <c r="K52" s="13" t="s">
        <v>31</v>
      </c>
      <c r="L52" s="13"/>
      <c r="M52" s="13" t="s">
        <v>31</v>
      </c>
      <c r="N52" s="13"/>
      <c r="O52" s="13" t="s">
        <v>31</v>
      </c>
      <c r="P52" s="13"/>
      <c r="Q52" s="13"/>
      <c r="R52" s="6" t="n">
        <f aca="false">COUNTA(B52:Q52)</f>
        <v>12</v>
      </c>
    </row>
    <row r="53" customFormat="false" ht="15" hidden="false" customHeight="false" outlineLevel="0" collapsed="false">
      <c r="A53" s="12" t="s">
        <v>82</v>
      </c>
      <c r="B53" s="13" t="s">
        <v>31</v>
      </c>
      <c r="C53" s="13" t="s">
        <v>31</v>
      </c>
      <c r="D53" s="13" t="s">
        <v>31</v>
      </c>
      <c r="E53" s="13" t="s">
        <v>31</v>
      </c>
      <c r="F53" s="13" t="s">
        <v>31</v>
      </c>
      <c r="G53" s="13" t="s">
        <v>31</v>
      </c>
      <c r="H53" s="13" t="s">
        <v>31</v>
      </c>
      <c r="I53" s="13" t="s">
        <v>31</v>
      </c>
      <c r="J53" s="13" t="s">
        <v>31</v>
      </c>
      <c r="K53" s="13" t="s">
        <v>31</v>
      </c>
      <c r="L53" s="13"/>
      <c r="M53" s="13"/>
      <c r="N53" s="13"/>
      <c r="O53" s="13"/>
      <c r="P53" s="13"/>
      <c r="Q53" s="13"/>
      <c r="R53" s="6" t="n">
        <f aca="false">COUNTA(B53:Q53)</f>
        <v>10</v>
      </c>
    </row>
    <row r="54" customFormat="false" ht="15" hidden="false" customHeight="false" outlineLevel="0" collapsed="false">
      <c r="A54" s="12" t="s">
        <v>83</v>
      </c>
      <c r="B54" s="13" t="s">
        <v>31</v>
      </c>
      <c r="C54" s="13" t="s">
        <v>31</v>
      </c>
      <c r="D54" s="13" t="s">
        <v>31</v>
      </c>
      <c r="E54" s="13" t="s">
        <v>31</v>
      </c>
      <c r="F54" s="13" t="s">
        <v>31</v>
      </c>
      <c r="G54" s="13" t="s">
        <v>31</v>
      </c>
      <c r="H54" s="13" t="s">
        <v>31</v>
      </c>
      <c r="I54" s="13" t="s">
        <v>31</v>
      </c>
      <c r="J54" s="13" t="s">
        <v>31</v>
      </c>
      <c r="K54" s="13" t="s">
        <v>31</v>
      </c>
      <c r="L54" s="13" t="s">
        <v>31</v>
      </c>
      <c r="M54" s="13"/>
      <c r="N54" s="13"/>
      <c r="O54" s="13"/>
      <c r="P54" s="13"/>
      <c r="Q54" s="13"/>
      <c r="R54" s="6" t="n">
        <f aca="false">COUNTA(B54:Q54)</f>
        <v>11</v>
      </c>
    </row>
    <row r="55" customFormat="false" ht="15" hidden="false" customHeight="false" outlineLevel="0" collapsed="false">
      <c r="A55" s="12" t="s">
        <v>84</v>
      </c>
      <c r="B55" s="13"/>
      <c r="C55" s="13" t="s">
        <v>31</v>
      </c>
      <c r="D55" s="13"/>
      <c r="E55" s="13" t="s">
        <v>31</v>
      </c>
      <c r="F55" s="13" t="s">
        <v>31</v>
      </c>
      <c r="G55" s="13" t="s">
        <v>31</v>
      </c>
      <c r="H55" s="13"/>
      <c r="I55" s="13" t="s">
        <v>31</v>
      </c>
      <c r="J55" s="13"/>
      <c r="K55" s="13"/>
      <c r="L55" s="13" t="s">
        <v>31</v>
      </c>
      <c r="M55" s="13"/>
      <c r="N55" s="13"/>
      <c r="O55" s="13"/>
      <c r="P55" s="13"/>
      <c r="Q55" s="13"/>
      <c r="R55" s="6" t="n">
        <f aca="false">COUNTA(B55:Q55)</f>
        <v>6</v>
      </c>
    </row>
    <row r="56" customFormat="false" ht="15" hidden="false" customHeight="false" outlineLevel="0" collapsed="false">
      <c r="A56" s="12" t="s">
        <v>85</v>
      </c>
      <c r="B56" s="13"/>
      <c r="C56" s="13" t="s">
        <v>31</v>
      </c>
      <c r="D56" s="13" t="s">
        <v>31</v>
      </c>
      <c r="E56" s="13"/>
      <c r="F56" s="13" t="s">
        <v>31</v>
      </c>
      <c r="G56" s="13"/>
      <c r="H56" s="13"/>
      <c r="I56" s="13" t="s">
        <v>31</v>
      </c>
      <c r="J56" s="13" t="s">
        <v>31</v>
      </c>
      <c r="K56" s="13" t="s">
        <v>31</v>
      </c>
      <c r="L56" s="13"/>
      <c r="M56" s="13" t="s">
        <v>31</v>
      </c>
      <c r="N56" s="13"/>
      <c r="O56" s="13" t="s">
        <v>31</v>
      </c>
      <c r="P56" s="13"/>
      <c r="Q56" s="13"/>
      <c r="R56" s="6" t="n">
        <f aca="false">COUNTA(B56:Q56)</f>
        <v>8</v>
      </c>
    </row>
    <row r="57" customFormat="false" ht="15" hidden="false" customHeight="false" outlineLevel="0" collapsed="false">
      <c r="A57" s="12" t="s">
        <v>86</v>
      </c>
      <c r="B57" s="13" t="s">
        <v>31</v>
      </c>
      <c r="C57" s="13" t="s">
        <v>31</v>
      </c>
      <c r="D57" s="13" t="s">
        <v>31</v>
      </c>
      <c r="E57" s="13" t="s">
        <v>31</v>
      </c>
      <c r="F57" s="13"/>
      <c r="G57" s="13" t="s">
        <v>31</v>
      </c>
      <c r="H57" s="13" t="s">
        <v>31</v>
      </c>
      <c r="I57" s="13" t="s">
        <v>31</v>
      </c>
      <c r="J57" s="13" t="s">
        <v>31</v>
      </c>
      <c r="K57" s="13" t="s">
        <v>31</v>
      </c>
      <c r="L57" s="13" t="s">
        <v>31</v>
      </c>
      <c r="M57" s="13" t="s">
        <v>31</v>
      </c>
      <c r="N57" s="13"/>
      <c r="O57" s="13" t="s">
        <v>31</v>
      </c>
      <c r="P57" s="13"/>
      <c r="Q57" s="13"/>
      <c r="R57" s="6" t="n">
        <f aca="false">COUNTA(B57:Q57)</f>
        <v>12</v>
      </c>
    </row>
    <row r="58" customFormat="false" ht="15" hidden="false" customHeight="false" outlineLevel="0" collapsed="false">
      <c r="A58" s="12" t="s">
        <v>87</v>
      </c>
      <c r="B58" s="13" t="s">
        <v>31</v>
      </c>
      <c r="C58" s="13"/>
      <c r="D58" s="13" t="s">
        <v>31</v>
      </c>
      <c r="E58" s="13" t="s">
        <v>31</v>
      </c>
      <c r="F58" s="13" t="s">
        <v>31</v>
      </c>
      <c r="G58" s="13" t="s">
        <v>31</v>
      </c>
      <c r="H58" s="13" t="s">
        <v>31</v>
      </c>
      <c r="I58" s="13" t="s">
        <v>31</v>
      </c>
      <c r="J58" s="13"/>
      <c r="K58" s="13" t="s">
        <v>31</v>
      </c>
      <c r="L58" s="13" t="s">
        <v>31</v>
      </c>
      <c r="M58" s="13" t="s">
        <v>31</v>
      </c>
      <c r="N58" s="13" t="s">
        <v>31</v>
      </c>
      <c r="O58" s="13"/>
      <c r="P58" s="13"/>
      <c r="Q58" s="13"/>
      <c r="R58" s="6" t="n">
        <f aca="false">COUNTA(B58:Q58)</f>
        <v>11</v>
      </c>
    </row>
    <row r="59" customFormat="false" ht="15" hidden="false" customHeight="false" outlineLevel="0" collapsed="false">
      <c r="A59" s="12" t="s">
        <v>88</v>
      </c>
      <c r="B59" s="13" t="s">
        <v>31</v>
      </c>
      <c r="C59" s="13" t="s">
        <v>31</v>
      </c>
      <c r="D59" s="13" t="s">
        <v>31</v>
      </c>
      <c r="E59" s="13" t="s">
        <v>31</v>
      </c>
      <c r="F59" s="13" t="s">
        <v>31</v>
      </c>
      <c r="G59" s="13" t="s">
        <v>31</v>
      </c>
      <c r="H59" s="13" t="s">
        <v>31</v>
      </c>
      <c r="I59" s="13"/>
      <c r="J59" s="13" t="s">
        <v>31</v>
      </c>
      <c r="K59" s="13" t="s">
        <v>31</v>
      </c>
      <c r="L59" s="13" t="s">
        <v>31</v>
      </c>
      <c r="M59" s="13"/>
      <c r="N59" s="13" t="s">
        <v>31</v>
      </c>
      <c r="O59" s="13"/>
      <c r="P59" s="13"/>
      <c r="Q59" s="13"/>
      <c r="R59" s="6" t="n">
        <f aca="false">COUNTA(B59:Q59)</f>
        <v>11</v>
      </c>
    </row>
    <row r="60" customFormat="false" ht="15" hidden="false" customHeight="false" outlineLevel="0" collapsed="false">
      <c r="A60" s="12" t="s">
        <v>89</v>
      </c>
      <c r="B60" s="13" t="s">
        <v>31</v>
      </c>
      <c r="C60" s="13" t="s">
        <v>31</v>
      </c>
      <c r="D60" s="13" t="s">
        <v>31</v>
      </c>
      <c r="E60" s="13" t="s">
        <v>31</v>
      </c>
      <c r="F60" s="13" t="s">
        <v>31</v>
      </c>
      <c r="G60" s="13" t="s">
        <v>31</v>
      </c>
      <c r="H60" s="13" t="s">
        <v>31</v>
      </c>
      <c r="I60" s="13" t="s">
        <v>31</v>
      </c>
      <c r="J60" s="13" t="s">
        <v>31</v>
      </c>
      <c r="K60" s="13" t="s">
        <v>31</v>
      </c>
      <c r="L60" s="13"/>
      <c r="M60" s="13"/>
      <c r="N60" s="13"/>
      <c r="O60" s="13"/>
      <c r="P60" s="13"/>
      <c r="Q60" s="13"/>
      <c r="R60" s="6" t="n">
        <f aca="false">COUNTA(B60:Q60)</f>
        <v>10</v>
      </c>
    </row>
    <row r="61" customFormat="false" ht="15" hidden="false" customHeight="false" outlineLevel="0" collapsed="false">
      <c r="A61" s="12" t="s">
        <v>90</v>
      </c>
      <c r="B61" s="13" t="s">
        <v>31</v>
      </c>
      <c r="C61" s="13" t="s">
        <v>31</v>
      </c>
      <c r="D61" s="13" t="s">
        <v>31</v>
      </c>
      <c r="E61" s="13" t="s">
        <v>31</v>
      </c>
      <c r="F61" s="13" t="s">
        <v>31</v>
      </c>
      <c r="G61" s="13" t="s">
        <v>31</v>
      </c>
      <c r="H61" s="13" t="s">
        <v>31</v>
      </c>
      <c r="I61" s="13" t="s">
        <v>31</v>
      </c>
      <c r="J61" s="13" t="s">
        <v>31</v>
      </c>
      <c r="K61" s="13" t="s">
        <v>31</v>
      </c>
      <c r="L61" s="13"/>
      <c r="M61" s="13"/>
      <c r="N61" s="13" t="s">
        <v>31</v>
      </c>
      <c r="O61" s="13"/>
      <c r="P61" s="13"/>
      <c r="Q61" s="13"/>
      <c r="R61" s="6" t="n">
        <f aca="false">COUNTA(B61:Q61)</f>
        <v>11</v>
      </c>
    </row>
    <row r="62" customFormat="false" ht="15" hidden="false" customHeight="false" outlineLevel="0" collapsed="false">
      <c r="A62" s="12" t="s">
        <v>91</v>
      </c>
      <c r="B62" s="13" t="s">
        <v>31</v>
      </c>
      <c r="C62" s="13" t="s">
        <v>31</v>
      </c>
      <c r="D62" s="13" t="s">
        <v>31</v>
      </c>
      <c r="E62" s="13" t="s">
        <v>31</v>
      </c>
      <c r="F62" s="13"/>
      <c r="G62" s="13" t="s">
        <v>31</v>
      </c>
      <c r="H62" s="13" t="s">
        <v>31</v>
      </c>
      <c r="I62" s="13" t="s">
        <v>31</v>
      </c>
      <c r="J62" s="13" t="s">
        <v>31</v>
      </c>
      <c r="K62" s="13" t="s">
        <v>31</v>
      </c>
      <c r="L62" s="13" t="s">
        <v>31</v>
      </c>
      <c r="M62" s="13"/>
      <c r="N62" s="13"/>
      <c r="O62" s="13"/>
      <c r="P62" s="13"/>
      <c r="Q62" s="13"/>
      <c r="R62" s="6" t="n">
        <f aca="false">COUNTA(B62:Q62)</f>
        <v>10</v>
      </c>
    </row>
    <row r="63" customFormat="false" ht="15" hidden="false" customHeight="false" outlineLevel="0" collapsed="false">
      <c r="A63" s="12" t="s">
        <v>92</v>
      </c>
      <c r="B63" s="13" t="s">
        <v>31</v>
      </c>
      <c r="C63" s="13" t="s">
        <v>31</v>
      </c>
      <c r="D63" s="13" t="s">
        <v>31</v>
      </c>
      <c r="E63" s="13" t="s">
        <v>31</v>
      </c>
      <c r="F63" s="13" t="s">
        <v>31</v>
      </c>
      <c r="G63" s="13" t="s">
        <v>31</v>
      </c>
      <c r="H63" s="13" t="s">
        <v>31</v>
      </c>
      <c r="I63" s="13" t="s">
        <v>31</v>
      </c>
      <c r="J63" s="13"/>
      <c r="K63" s="13" t="s">
        <v>31</v>
      </c>
      <c r="L63" s="13" t="s">
        <v>31</v>
      </c>
      <c r="M63" s="13" t="s">
        <v>31</v>
      </c>
      <c r="N63" s="13" t="s">
        <v>31</v>
      </c>
      <c r="O63" s="13" t="s">
        <v>31</v>
      </c>
      <c r="P63" s="13"/>
      <c r="Q63" s="13"/>
      <c r="R63" s="6" t="n">
        <f aca="false">COUNTA(B63:Q63)</f>
        <v>13</v>
      </c>
    </row>
    <row r="64" customFormat="false" ht="15" hidden="false" customHeight="false" outlineLevel="0" collapsed="false">
      <c r="A64" s="12" t="s">
        <v>93</v>
      </c>
      <c r="B64" s="13" t="s">
        <v>31</v>
      </c>
      <c r="C64" s="13" t="s">
        <v>31</v>
      </c>
      <c r="D64" s="13" t="s">
        <v>31</v>
      </c>
      <c r="E64" s="13" t="s">
        <v>31</v>
      </c>
      <c r="F64" s="13" t="s">
        <v>31</v>
      </c>
      <c r="G64" s="13" t="s">
        <v>31</v>
      </c>
      <c r="H64" s="13" t="s">
        <v>31</v>
      </c>
      <c r="I64" s="13" t="s">
        <v>31</v>
      </c>
      <c r="J64" s="13"/>
      <c r="K64" s="13" t="s">
        <v>31</v>
      </c>
      <c r="L64" s="13" t="s">
        <v>31</v>
      </c>
      <c r="M64" s="13"/>
      <c r="N64" s="13"/>
      <c r="O64" s="13" t="s">
        <v>31</v>
      </c>
      <c r="P64" s="13"/>
      <c r="Q64" s="13"/>
      <c r="R64" s="6" t="n">
        <f aca="false">COUNTA(B64:Q64)</f>
        <v>11</v>
      </c>
    </row>
    <row r="65" customFormat="false" ht="15" hidden="false" customHeight="false" outlineLevel="0" collapsed="false">
      <c r="A65" s="12" t="s">
        <v>94</v>
      </c>
      <c r="B65" s="13" t="s">
        <v>31</v>
      </c>
      <c r="C65" s="13" t="s">
        <v>31</v>
      </c>
      <c r="D65" s="13" t="s">
        <v>31</v>
      </c>
      <c r="E65" s="13" t="s">
        <v>31</v>
      </c>
      <c r="F65" s="13" t="s">
        <v>31</v>
      </c>
      <c r="G65" s="13"/>
      <c r="H65" s="13" t="s">
        <v>31</v>
      </c>
      <c r="I65" s="13" t="s">
        <v>31</v>
      </c>
      <c r="J65" s="13" t="s">
        <v>31</v>
      </c>
      <c r="K65" s="13" t="s">
        <v>31</v>
      </c>
      <c r="L65" s="13"/>
      <c r="M65" s="13"/>
      <c r="N65" s="13"/>
      <c r="O65" s="13"/>
      <c r="P65" s="13"/>
      <c r="Q65" s="13"/>
      <c r="R65" s="6" t="n">
        <f aca="false">COUNTA(B65:Q65)</f>
        <v>9</v>
      </c>
    </row>
    <row r="66" customFormat="false" ht="15" hidden="false" customHeight="false" outlineLevel="0" collapsed="false">
      <c r="A66" s="12" t="s">
        <v>95</v>
      </c>
      <c r="B66" s="13"/>
      <c r="C66" s="13" t="s">
        <v>31</v>
      </c>
      <c r="D66" s="13"/>
      <c r="E66" s="13"/>
      <c r="F66" s="13" t="s">
        <v>31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6" t="n">
        <f aca="false">COUNTA(B66:Q66)</f>
        <v>2</v>
      </c>
    </row>
    <row r="67" customFormat="false" ht="15" hidden="false" customHeight="false" outlineLevel="0" collapsed="false">
      <c r="A67" s="12" t="s">
        <v>96</v>
      </c>
      <c r="B67" s="13" t="s">
        <v>31</v>
      </c>
      <c r="C67" s="13" t="s">
        <v>31</v>
      </c>
      <c r="D67" s="13" t="s">
        <v>31</v>
      </c>
      <c r="E67" s="13" t="s">
        <v>31</v>
      </c>
      <c r="F67" s="13"/>
      <c r="G67" s="13" t="s">
        <v>31</v>
      </c>
      <c r="H67" s="13" t="s">
        <v>31</v>
      </c>
      <c r="I67" s="13" t="s">
        <v>31</v>
      </c>
      <c r="J67" s="13" t="s">
        <v>31</v>
      </c>
      <c r="K67" s="13" t="s">
        <v>31</v>
      </c>
      <c r="L67" s="13" t="s">
        <v>31</v>
      </c>
      <c r="M67" s="13"/>
      <c r="N67" s="13"/>
      <c r="O67" s="13"/>
      <c r="P67" s="13"/>
      <c r="Q67" s="13"/>
      <c r="R67" s="6" t="n">
        <f aca="false">COUNTA(B67:Q67)</f>
        <v>10</v>
      </c>
    </row>
    <row r="68" customFormat="false" ht="15" hidden="false" customHeight="false" outlineLevel="0" collapsed="false">
      <c r="A68" s="12" t="s">
        <v>97</v>
      </c>
      <c r="B68" s="13" t="s">
        <v>31</v>
      </c>
      <c r="C68" s="13" t="s">
        <v>31</v>
      </c>
      <c r="D68" s="13" t="s">
        <v>31</v>
      </c>
      <c r="E68" s="13" t="s">
        <v>31</v>
      </c>
      <c r="F68" s="13" t="s">
        <v>31</v>
      </c>
      <c r="G68" s="13" t="s">
        <v>31</v>
      </c>
      <c r="H68" s="13" t="s">
        <v>31</v>
      </c>
      <c r="I68" s="13" t="s">
        <v>31</v>
      </c>
      <c r="J68" s="13" t="s">
        <v>31</v>
      </c>
      <c r="K68" s="13" t="s">
        <v>31</v>
      </c>
      <c r="L68" s="13" t="s">
        <v>31</v>
      </c>
      <c r="M68" s="13" t="s">
        <v>31</v>
      </c>
      <c r="N68" s="13" t="s">
        <v>31</v>
      </c>
      <c r="O68" s="13"/>
      <c r="P68" s="13"/>
      <c r="Q68" s="13"/>
      <c r="R68" s="6" t="n">
        <f aca="false">COUNTA(B68:Q68)</f>
        <v>13</v>
      </c>
    </row>
    <row r="69" customFormat="false" ht="15" hidden="false" customHeight="false" outlineLevel="0" collapsed="false">
      <c r="A69" s="14" t="s">
        <v>98</v>
      </c>
      <c r="B69" s="15" t="n">
        <f aca="false">COUNTA(B2:B68)</f>
        <v>58</v>
      </c>
      <c r="C69" s="15" t="n">
        <f aca="false">COUNTA(C2:C68)</f>
        <v>58</v>
      </c>
      <c r="D69" s="15" t="n">
        <f aca="false">COUNTA(D2:D68)</f>
        <v>58</v>
      </c>
      <c r="E69" s="15" t="n">
        <f aca="false">COUNTA(E2:E68)</f>
        <v>58</v>
      </c>
      <c r="F69" s="15" t="n">
        <f aca="false">COUNTA(F2:F68)</f>
        <v>55</v>
      </c>
      <c r="G69" s="15" t="n">
        <f aca="false">COUNTA(G2:G68)</f>
        <v>55</v>
      </c>
      <c r="H69" s="15" t="n">
        <f aca="false">COUNTA(H2:H68)</f>
        <v>55</v>
      </c>
      <c r="I69" s="15" t="n">
        <f aca="false">COUNTA(I2:I68)</f>
        <v>50</v>
      </c>
      <c r="J69" s="15" t="n">
        <f aca="false">COUNTA(J2:J68)</f>
        <v>49</v>
      </c>
      <c r="K69" s="15" t="n">
        <f aca="false">COUNTA(K2:K68)</f>
        <v>47</v>
      </c>
      <c r="L69" s="15" t="n">
        <f aca="false">COUNTA(L2:L68)</f>
        <v>32</v>
      </c>
      <c r="M69" s="15" t="n">
        <f aca="false">COUNTA(M2:M68)</f>
        <v>21</v>
      </c>
      <c r="N69" s="15" t="n">
        <f aca="false">COUNTA(N2:N68)</f>
        <v>19</v>
      </c>
      <c r="O69" s="15" t="n">
        <f aca="false">COUNTA(O2:O68)</f>
        <v>14</v>
      </c>
      <c r="P69" s="15" t="n">
        <f aca="false">COUNTA(P2:P68)</f>
        <v>2</v>
      </c>
      <c r="Q69" s="15" t="n">
        <f aca="false">COUNTA(Q2:Q68)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2026-06-12T19:37:45Z</dcterms:created>
  <dc:creator>openpyxl</dc:creator>
  <dc:description/>
  <dc:language>en-US</dc:language>
  <cp:lastModifiedBy/>
  <dcterms:modified xsi:type="dcterms:W3CDTF">2026-06-12T19:37:45Z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